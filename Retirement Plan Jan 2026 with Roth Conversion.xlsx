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bob/Documents/Personal Finances/Retirement Planning/Excel Models/"/>
    </mc:Choice>
  </mc:AlternateContent>
  <xr:revisionPtr revIDLastSave="0" documentId="13_ncr:1_{D7F9FE7E-B55F-D649-8632-C23B87DCF9A7}" xr6:coauthVersionLast="47" xr6:coauthVersionMax="47" xr10:uidLastSave="{00000000-0000-0000-0000-000000000000}"/>
  <bookViews>
    <workbookView xWindow="360" yWindow="500" windowWidth="26920" windowHeight="17500" activeTab="2" xr2:uid="{00000000-000D-0000-FFFF-FFFF00000000}"/>
  </bookViews>
  <sheets>
    <sheet name="Current Distribution" sheetId="2" r:id="rId1"/>
    <sheet name="Current Distribution with Roth" sheetId="17" r:id="rId2"/>
    <sheet name="Aggressive Model with Roth" sheetId="21" r:id="rId3"/>
    <sheet name="Compare" sheetId="18" r:id="rId4"/>
    <sheet name="RMD" sheetId="4" r:id="rId5"/>
    <sheet name="Tax Table" sheetId="5" r:id="rId6"/>
    <sheet name="Sheet1" sheetId="19" r:id="rId7"/>
    <sheet name="Test 2035" sheetId="2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9" i="21" l="1"/>
  <c r="K21" i="21"/>
  <c r="K21" i="17"/>
  <c r="K39" i="21"/>
  <c r="L39" i="21" s="1"/>
  <c r="M39" i="21" s="1"/>
  <c r="N39" i="21" s="1"/>
  <c r="O39" i="21" s="1"/>
  <c r="P39" i="21" s="1"/>
  <c r="Q39" i="21" s="1"/>
  <c r="R39" i="21" s="1"/>
  <c r="M52" i="21"/>
  <c r="D43" i="21"/>
  <c r="E43" i="21" s="1"/>
  <c r="F43" i="21" s="1"/>
  <c r="G43" i="21" s="1"/>
  <c r="H43" i="21" s="1"/>
  <c r="I43" i="21" s="1"/>
  <c r="H40" i="21"/>
  <c r="C40" i="21"/>
  <c r="I39" i="21"/>
  <c r="I38" i="21"/>
  <c r="D38" i="21"/>
  <c r="E38" i="21" s="1"/>
  <c r="F38" i="21" s="1"/>
  <c r="G38" i="21" s="1"/>
  <c r="J37" i="21"/>
  <c r="I37" i="21"/>
  <c r="C37" i="21"/>
  <c r="D37" i="21" s="1"/>
  <c r="E37" i="21" s="1"/>
  <c r="F37" i="21" s="1"/>
  <c r="G37" i="21" s="1"/>
  <c r="J36" i="21"/>
  <c r="I36" i="21"/>
  <c r="C36" i="21"/>
  <c r="D36" i="21" s="1"/>
  <c r="E36" i="21" s="1"/>
  <c r="F36" i="21" s="1"/>
  <c r="G36" i="21" s="1"/>
  <c r="J35" i="21"/>
  <c r="I35" i="21"/>
  <c r="D35" i="21"/>
  <c r="E35" i="21" s="1"/>
  <c r="C35" i="21"/>
  <c r="L29" i="21"/>
  <c r="K29" i="21"/>
  <c r="K31" i="21" s="1"/>
  <c r="J26" i="21"/>
  <c r="C26" i="21"/>
  <c r="J23" i="21"/>
  <c r="I23" i="21"/>
  <c r="H23" i="21"/>
  <c r="G23" i="21"/>
  <c r="G42" i="21" s="1"/>
  <c r="F23" i="21"/>
  <c r="F42" i="21" s="1"/>
  <c r="E23" i="21"/>
  <c r="D23" i="21"/>
  <c r="C23" i="21"/>
  <c r="J20" i="21"/>
  <c r="I20" i="21"/>
  <c r="H20" i="21"/>
  <c r="G20" i="21"/>
  <c r="F20" i="21"/>
  <c r="E20" i="21"/>
  <c r="D20" i="21"/>
  <c r="C20" i="21"/>
  <c r="J19" i="21"/>
  <c r="I19" i="21"/>
  <c r="I26" i="21" s="1"/>
  <c r="H19" i="21"/>
  <c r="H26" i="21" s="1"/>
  <c r="G19" i="21"/>
  <c r="G26" i="21" s="1"/>
  <c r="F19" i="21"/>
  <c r="F26" i="21" s="1"/>
  <c r="E19" i="21"/>
  <c r="E26" i="21" s="1"/>
  <c r="D19" i="21"/>
  <c r="D26" i="21" s="1"/>
  <c r="C19" i="21"/>
  <c r="R12" i="21"/>
  <c r="Q12" i="21"/>
  <c r="P12" i="21"/>
  <c r="V29" i="17"/>
  <c r="W29" i="17"/>
  <c r="X29" i="17"/>
  <c r="Y29" i="17"/>
  <c r="Z29" i="17"/>
  <c r="L29" i="17"/>
  <c r="M29" i="17" s="1"/>
  <c r="H19" i="2"/>
  <c r="I19" i="2"/>
  <c r="H20" i="2"/>
  <c r="I20" i="2"/>
  <c r="H21" i="2"/>
  <c r="I21" i="2"/>
  <c r="I37" i="2" s="1"/>
  <c r="I30" i="2"/>
  <c r="I31" i="2"/>
  <c r="I32" i="2"/>
  <c r="I33" i="2"/>
  <c r="I34" i="2"/>
  <c r="H35" i="2"/>
  <c r="J26" i="17"/>
  <c r="C26" i="17"/>
  <c r="K29" i="17"/>
  <c r="K24" i="2"/>
  <c r="L24" i="2" s="1"/>
  <c r="M24" i="2" s="1"/>
  <c r="N24" i="2" s="1"/>
  <c r="O24" i="2" s="1"/>
  <c r="P24" i="2" s="1"/>
  <c r="Q24" i="2" s="1"/>
  <c r="R24" i="2" s="1"/>
  <c r="S24" i="2" s="1"/>
  <c r="T24" i="2" s="1"/>
  <c r="J36" i="17"/>
  <c r="K13" i="17" s="1"/>
  <c r="J39" i="17"/>
  <c r="K39" i="17" s="1"/>
  <c r="I39" i="17"/>
  <c r="I38" i="17"/>
  <c r="D38" i="17"/>
  <c r="E38" i="17" s="1"/>
  <c r="F38" i="17" s="1"/>
  <c r="G38" i="17" s="1"/>
  <c r="J37" i="17"/>
  <c r="I37" i="17"/>
  <c r="C37" i="17"/>
  <c r="D37" i="17" s="1"/>
  <c r="E37" i="17" s="1"/>
  <c r="F37" i="17" s="1"/>
  <c r="G37" i="17" s="1"/>
  <c r="I36" i="17"/>
  <c r="C36" i="17"/>
  <c r="D36" i="17" s="1"/>
  <c r="E36" i="17" s="1"/>
  <c r="F36" i="17" s="1"/>
  <c r="G36" i="17" s="1"/>
  <c r="J35" i="17"/>
  <c r="I35" i="17"/>
  <c r="C35" i="17"/>
  <c r="D35" i="17" s="1"/>
  <c r="E35" i="17" s="1"/>
  <c r="F35" i="17" s="1"/>
  <c r="G35" i="17" s="1"/>
  <c r="J23" i="17"/>
  <c r="J42" i="17" s="1"/>
  <c r="I23" i="17"/>
  <c r="I42" i="17" s="1"/>
  <c r="H23" i="17"/>
  <c r="G23" i="17"/>
  <c r="F23" i="17"/>
  <c r="E23" i="17"/>
  <c r="D23" i="17"/>
  <c r="C23" i="17"/>
  <c r="J20" i="17"/>
  <c r="I20" i="17"/>
  <c r="H20" i="17"/>
  <c r="G20" i="17"/>
  <c r="F20" i="17"/>
  <c r="E20" i="17"/>
  <c r="D20" i="17"/>
  <c r="C20" i="17"/>
  <c r="J19" i="17"/>
  <c r="I19" i="17"/>
  <c r="I26" i="17" s="1"/>
  <c r="H19" i="17"/>
  <c r="H26" i="17" s="1"/>
  <c r="G19" i="17"/>
  <c r="G26" i="17" s="1"/>
  <c r="F19" i="17"/>
  <c r="F26" i="17" s="1"/>
  <c r="E19" i="17"/>
  <c r="E26" i="17" s="1"/>
  <c r="D19" i="17"/>
  <c r="D26" i="17" s="1"/>
  <c r="C19" i="17"/>
  <c r="P12" i="17"/>
  <c r="Q12" i="17" s="1"/>
  <c r="R12" i="17" s="1"/>
  <c r="J21" i="2"/>
  <c r="H40" i="17"/>
  <c r="J34" i="2"/>
  <c r="J33" i="2"/>
  <c r="J32" i="2"/>
  <c r="J31" i="2"/>
  <c r="J30" i="2"/>
  <c r="P12" i="2"/>
  <c r="E9" i="19"/>
  <c r="S14" i="21" l="1"/>
  <c r="S39" i="21" s="1"/>
  <c r="G44" i="21"/>
  <c r="F44" i="21"/>
  <c r="F45" i="21" s="1"/>
  <c r="C42" i="21"/>
  <c r="C44" i="21" s="1"/>
  <c r="S12" i="21"/>
  <c r="I42" i="21"/>
  <c r="I44" i="21" s="1"/>
  <c r="D42" i="21"/>
  <c r="D44" i="21" s="1"/>
  <c r="L31" i="21"/>
  <c r="M29" i="21"/>
  <c r="F35" i="21"/>
  <c r="E40" i="21"/>
  <c r="J42" i="21"/>
  <c r="J44" i="21" s="1"/>
  <c r="F48" i="21"/>
  <c r="J40" i="21"/>
  <c r="E42" i="21"/>
  <c r="E44" i="21" s="1"/>
  <c r="D40" i="21"/>
  <c r="K13" i="21"/>
  <c r="K36" i="21" s="1"/>
  <c r="G48" i="21"/>
  <c r="G46" i="21"/>
  <c r="G45" i="21"/>
  <c r="I40" i="21"/>
  <c r="H42" i="21"/>
  <c r="H44" i="21" s="1"/>
  <c r="K22" i="17"/>
  <c r="L31" i="17"/>
  <c r="K36" i="17"/>
  <c r="I35" i="2"/>
  <c r="H37" i="2"/>
  <c r="U24" i="2"/>
  <c r="T26" i="2"/>
  <c r="L39" i="17"/>
  <c r="M39" i="17" s="1"/>
  <c r="N39" i="17" s="1"/>
  <c r="O39" i="17" s="1"/>
  <c r="P39" i="17" s="1"/>
  <c r="Q39" i="17" s="1"/>
  <c r="R39" i="17" s="1"/>
  <c r="I40" i="17"/>
  <c r="S12" i="17"/>
  <c r="H42" i="17"/>
  <c r="E14" i="19"/>
  <c r="M52" i="17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D11" i="18"/>
  <c r="E11" i="18"/>
  <c r="F11" i="18"/>
  <c r="G11" i="18"/>
  <c r="H11" i="18"/>
  <c r="I11" i="18"/>
  <c r="J11" i="18"/>
  <c r="K11" i="18"/>
  <c r="D13" i="18"/>
  <c r="E13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D15" i="18"/>
  <c r="E15" i="18"/>
  <c r="D16" i="18"/>
  <c r="E16" i="18"/>
  <c r="F16" i="18"/>
  <c r="C27" i="18"/>
  <c r="C28" i="18"/>
  <c r="C29" i="18"/>
  <c r="C30" i="18"/>
  <c r="C31" i="18"/>
  <c r="C9" i="18"/>
  <c r="C10" i="18"/>
  <c r="C11" i="18"/>
  <c r="C12" i="18"/>
  <c r="C13" i="18"/>
  <c r="C14" i="18"/>
  <c r="C15" i="18"/>
  <c r="C16" i="18"/>
  <c r="C8" i="18"/>
  <c r="D43" i="17"/>
  <c r="E43" i="17" s="1"/>
  <c r="F43" i="17" s="1"/>
  <c r="G43" i="17" s="1"/>
  <c r="G42" i="17"/>
  <c r="E42" i="17"/>
  <c r="D42" i="17"/>
  <c r="Q12" i="2"/>
  <c r="C19" i="2"/>
  <c r="D19" i="2"/>
  <c r="E19" i="2"/>
  <c r="F19" i="2"/>
  <c r="G19" i="2"/>
  <c r="C20" i="2"/>
  <c r="D20" i="2"/>
  <c r="E20" i="2"/>
  <c r="F20" i="2"/>
  <c r="G20" i="2"/>
  <c r="C21" i="2"/>
  <c r="C37" i="2" s="1"/>
  <c r="C39" i="2" s="1"/>
  <c r="D21" i="2"/>
  <c r="D37" i="2" s="1"/>
  <c r="E21" i="2"/>
  <c r="E37" i="2" s="1"/>
  <c r="F21" i="2"/>
  <c r="F37" i="2" s="1"/>
  <c r="G21" i="2"/>
  <c r="C30" i="2"/>
  <c r="C31" i="2"/>
  <c r="D31" i="2" s="1"/>
  <c r="E31" i="2" s="1"/>
  <c r="F31" i="2" s="1"/>
  <c r="G31" i="2" s="1"/>
  <c r="C32" i="2"/>
  <c r="D32" i="2" s="1"/>
  <c r="E32" i="2" s="1"/>
  <c r="F32" i="2" s="1"/>
  <c r="G32" i="2" s="1"/>
  <c r="D33" i="2"/>
  <c r="E33" i="2" s="1"/>
  <c r="F33" i="2" s="1"/>
  <c r="G33" i="2" s="1"/>
  <c r="D38" i="2"/>
  <c r="E38" i="2" s="1"/>
  <c r="F38" i="2" s="1"/>
  <c r="G38" i="2" s="1"/>
  <c r="H38" i="2" s="1"/>
  <c r="I38" i="2" s="1"/>
  <c r="I39" i="2" s="1"/>
  <c r="C18" i="18"/>
  <c r="C19" i="18"/>
  <c r="C32" i="18"/>
  <c r="F46" i="21" l="1"/>
  <c r="H46" i="21"/>
  <c r="H45" i="21"/>
  <c r="H48" i="21"/>
  <c r="T14" i="21"/>
  <c r="T39" i="21" s="1"/>
  <c r="E45" i="21"/>
  <c r="E48" i="21"/>
  <c r="E46" i="21"/>
  <c r="D45" i="21"/>
  <c r="D48" i="21"/>
  <c r="D46" i="21"/>
  <c r="C46" i="21"/>
  <c r="C45" i="21"/>
  <c r="C48" i="21"/>
  <c r="G35" i="21"/>
  <c r="G40" i="21" s="1"/>
  <c r="F40" i="21"/>
  <c r="I46" i="21"/>
  <c r="I45" i="21"/>
  <c r="I48" i="21"/>
  <c r="F47" i="21"/>
  <c r="F27" i="21"/>
  <c r="F29" i="21" s="1"/>
  <c r="F31" i="21" s="1"/>
  <c r="G49" i="21"/>
  <c r="F49" i="21"/>
  <c r="M31" i="21"/>
  <c r="N29" i="21"/>
  <c r="L13" i="21"/>
  <c r="L36" i="21" s="1"/>
  <c r="G47" i="21"/>
  <c r="G27" i="21"/>
  <c r="G29" i="21" s="1"/>
  <c r="G31" i="21" s="1"/>
  <c r="K23" i="21"/>
  <c r="K22" i="21"/>
  <c r="J46" i="21"/>
  <c r="J45" i="21"/>
  <c r="J48" i="21"/>
  <c r="T12" i="21"/>
  <c r="M31" i="17"/>
  <c r="N29" i="17"/>
  <c r="H39" i="2"/>
  <c r="H43" i="2" s="1"/>
  <c r="I43" i="2"/>
  <c r="I41" i="2"/>
  <c r="I40" i="2"/>
  <c r="V24" i="2"/>
  <c r="U26" i="2"/>
  <c r="E44" i="17"/>
  <c r="E46" i="17" s="1"/>
  <c r="D39" i="2"/>
  <c r="D43" i="2" s="1"/>
  <c r="C34" i="18"/>
  <c r="T12" i="17"/>
  <c r="C35" i="2"/>
  <c r="R12" i="2"/>
  <c r="E39" i="2"/>
  <c r="E43" i="2" s="1"/>
  <c r="C20" i="18"/>
  <c r="D44" i="17"/>
  <c r="H43" i="17"/>
  <c r="H44" i="17" s="1"/>
  <c r="H48" i="17" s="1"/>
  <c r="G44" i="17"/>
  <c r="G48" i="17" s="1"/>
  <c r="C40" i="17"/>
  <c r="G16" i="18"/>
  <c r="D12" i="18"/>
  <c r="I16" i="18"/>
  <c r="H16" i="18"/>
  <c r="D31" i="18"/>
  <c r="D20" i="18"/>
  <c r="D40" i="17"/>
  <c r="C42" i="17"/>
  <c r="C44" i="17" s="1"/>
  <c r="F42" i="17"/>
  <c r="F44" i="17" s="1"/>
  <c r="F39" i="2"/>
  <c r="C43" i="2"/>
  <c r="D30" i="2"/>
  <c r="G37" i="2"/>
  <c r="G39" i="2" s="1"/>
  <c r="B11" i="5"/>
  <c r="B10" i="5"/>
  <c r="B9" i="5"/>
  <c r="B8" i="5"/>
  <c r="B7" i="5"/>
  <c r="E6" i="5"/>
  <c r="E7" i="5" s="1"/>
  <c r="E8" i="5" s="1"/>
  <c r="E9" i="5" s="1"/>
  <c r="E10" i="5" s="1"/>
  <c r="E11" i="5" s="1"/>
  <c r="B6" i="5"/>
  <c r="C40" i="2" s="1"/>
  <c r="I49" i="21" l="1"/>
  <c r="H41" i="2"/>
  <c r="H40" i="2"/>
  <c r="H42" i="2" s="1"/>
  <c r="C49" i="21"/>
  <c r="E49" i="21"/>
  <c r="J49" i="21"/>
  <c r="D49" i="21"/>
  <c r="U14" i="21"/>
  <c r="U39" i="21" s="1"/>
  <c r="U12" i="21"/>
  <c r="J47" i="21"/>
  <c r="J27" i="21"/>
  <c r="H49" i="21"/>
  <c r="E47" i="21"/>
  <c r="E27" i="21"/>
  <c r="E29" i="21" s="1"/>
  <c r="E31" i="21" s="1"/>
  <c r="O29" i="21"/>
  <c r="N31" i="21"/>
  <c r="H47" i="21"/>
  <c r="H27" i="21"/>
  <c r="K24" i="21"/>
  <c r="K35" i="21" s="1"/>
  <c r="C47" i="21"/>
  <c r="C27" i="21"/>
  <c r="C29" i="21" s="1"/>
  <c r="M13" i="21"/>
  <c r="M36" i="21" s="1"/>
  <c r="I47" i="21"/>
  <c r="I27" i="21"/>
  <c r="D47" i="21"/>
  <c r="D27" i="21"/>
  <c r="D29" i="21" s="1"/>
  <c r="D31" i="21" s="1"/>
  <c r="E48" i="17"/>
  <c r="N31" i="17"/>
  <c r="O29" i="17"/>
  <c r="I42" i="2"/>
  <c r="I22" i="2"/>
  <c r="H22" i="2"/>
  <c r="I44" i="2"/>
  <c r="W24" i="2"/>
  <c r="V26" i="2"/>
  <c r="F41" i="2"/>
  <c r="E40" i="2"/>
  <c r="E44" i="2" s="1"/>
  <c r="D41" i="2"/>
  <c r="E45" i="17"/>
  <c r="C41" i="2"/>
  <c r="D46" i="17"/>
  <c r="D40" i="2"/>
  <c r="D42" i="2" s="1"/>
  <c r="U12" i="17"/>
  <c r="D45" i="17"/>
  <c r="D48" i="17"/>
  <c r="G45" i="17"/>
  <c r="G27" i="17" s="1"/>
  <c r="G46" i="17"/>
  <c r="E41" i="2"/>
  <c r="F43" i="2"/>
  <c r="S12" i="2"/>
  <c r="F40" i="2"/>
  <c r="I43" i="17"/>
  <c r="I44" i="17" s="1"/>
  <c r="I48" i="17" s="1"/>
  <c r="C35" i="18"/>
  <c r="C36" i="18"/>
  <c r="J16" i="18"/>
  <c r="E31" i="18"/>
  <c r="F48" i="17"/>
  <c r="F46" i="17"/>
  <c r="F45" i="17"/>
  <c r="E40" i="17"/>
  <c r="C45" i="17"/>
  <c r="C48" i="17"/>
  <c r="C46" i="17"/>
  <c r="G40" i="2"/>
  <c r="G41" i="2"/>
  <c r="G43" i="2"/>
  <c r="E30" i="2"/>
  <c r="D35" i="2"/>
  <c r="C44" i="2"/>
  <c r="C42" i="2"/>
  <c r="C22" i="2"/>
  <c r="C24" i="2" s="1"/>
  <c r="C26" i="2" s="1"/>
  <c r="H44" i="2" l="1"/>
  <c r="E27" i="17"/>
  <c r="K26" i="21"/>
  <c r="K25" i="21"/>
  <c r="K42" i="21" s="1"/>
  <c r="N13" i="21"/>
  <c r="N36" i="21" s="1"/>
  <c r="V14" i="21"/>
  <c r="V39" i="21" s="1"/>
  <c r="K44" i="21"/>
  <c r="H29" i="21"/>
  <c r="H31" i="21" s="1"/>
  <c r="H28" i="21"/>
  <c r="J29" i="21"/>
  <c r="J31" i="21" s="1"/>
  <c r="J28" i="21"/>
  <c r="C31" i="21"/>
  <c r="V12" i="21"/>
  <c r="P29" i="21"/>
  <c r="O31" i="21"/>
  <c r="I29" i="21"/>
  <c r="I31" i="21" s="1"/>
  <c r="I28" i="21"/>
  <c r="K15" i="21"/>
  <c r="K37" i="21" s="1"/>
  <c r="O31" i="17"/>
  <c r="P29" i="17"/>
  <c r="H24" i="2"/>
  <c r="H26" i="2" s="1"/>
  <c r="H23" i="2"/>
  <c r="I24" i="2"/>
  <c r="I26" i="2" s="1"/>
  <c r="I23" i="2"/>
  <c r="F22" i="2"/>
  <c r="F24" i="2" s="1"/>
  <c r="F26" i="2" s="1"/>
  <c r="X24" i="2"/>
  <c r="W26" i="2"/>
  <c r="G29" i="17"/>
  <c r="G31" i="17" s="1"/>
  <c r="E29" i="17"/>
  <c r="E31" i="17" s="1"/>
  <c r="E22" i="2"/>
  <c r="E24" i="2" s="1"/>
  <c r="E26" i="2" s="1"/>
  <c r="E42" i="2"/>
  <c r="G44" i="2"/>
  <c r="D27" i="17"/>
  <c r="D49" i="17"/>
  <c r="D47" i="17"/>
  <c r="D44" i="2"/>
  <c r="D22" i="2"/>
  <c r="D24" i="2" s="1"/>
  <c r="D26" i="2" s="1"/>
  <c r="E49" i="17"/>
  <c r="F42" i="2"/>
  <c r="F44" i="2"/>
  <c r="E47" i="17"/>
  <c r="C27" i="17"/>
  <c r="C29" i="17" s="1"/>
  <c r="V12" i="17"/>
  <c r="F27" i="17"/>
  <c r="G49" i="17"/>
  <c r="G47" i="17"/>
  <c r="T12" i="2"/>
  <c r="C40" i="18"/>
  <c r="H45" i="17"/>
  <c r="H46" i="17"/>
  <c r="C38" i="18" s="1"/>
  <c r="J44" i="17"/>
  <c r="J48" i="17" s="1"/>
  <c r="K16" i="18"/>
  <c r="F47" i="17"/>
  <c r="C47" i="17"/>
  <c r="F40" i="17"/>
  <c r="G40" i="17"/>
  <c r="C49" i="17"/>
  <c r="F49" i="17"/>
  <c r="F30" i="2"/>
  <c r="E35" i="2"/>
  <c r="G42" i="2"/>
  <c r="G22" i="2"/>
  <c r="G24" i="2" s="1"/>
  <c r="G26" i="2" s="1"/>
  <c r="W14" i="21" l="1"/>
  <c r="W39" i="21" s="1"/>
  <c r="K46" i="21"/>
  <c r="K45" i="21"/>
  <c r="K48" i="21"/>
  <c r="Q29" i="21"/>
  <c r="P31" i="21"/>
  <c r="W12" i="21"/>
  <c r="P31" i="17"/>
  <c r="Q29" i="17"/>
  <c r="Y24" i="2"/>
  <c r="X26" i="2"/>
  <c r="D29" i="17"/>
  <c r="D31" i="17" s="1"/>
  <c r="F29" i="17"/>
  <c r="H27" i="17"/>
  <c r="H28" i="17" s="1"/>
  <c r="W12" i="17"/>
  <c r="C31" i="17"/>
  <c r="C37" i="18"/>
  <c r="U12" i="2"/>
  <c r="H47" i="17"/>
  <c r="C39" i="18" s="1"/>
  <c r="K23" i="17"/>
  <c r="I46" i="17"/>
  <c r="I45" i="17"/>
  <c r="I27" i="17" s="1"/>
  <c r="I28" i="17" s="1"/>
  <c r="H49" i="17"/>
  <c r="C41" i="18" s="1"/>
  <c r="L16" i="18"/>
  <c r="J40" i="17"/>
  <c r="F35" i="2"/>
  <c r="G30" i="2"/>
  <c r="G35" i="2" s="1"/>
  <c r="X12" i="21" l="1"/>
  <c r="K47" i="21"/>
  <c r="K27" i="21"/>
  <c r="K28" i="21" s="1"/>
  <c r="K17" i="21" s="1"/>
  <c r="K38" i="21" s="1"/>
  <c r="L21" i="21" s="1"/>
  <c r="O13" i="21"/>
  <c r="O36" i="21" s="1"/>
  <c r="X14" i="21"/>
  <c r="X39" i="21" s="1"/>
  <c r="R29" i="21"/>
  <c r="Q31" i="21"/>
  <c r="K49" i="21"/>
  <c r="Q31" i="17"/>
  <c r="R29" i="17"/>
  <c r="Y26" i="2"/>
  <c r="Z24" i="2"/>
  <c r="K24" i="17"/>
  <c r="I29" i="17"/>
  <c r="I31" i="17" s="1"/>
  <c r="H29" i="17"/>
  <c r="F31" i="17"/>
  <c r="X12" i="17"/>
  <c r="V12" i="2"/>
  <c r="I49" i="17"/>
  <c r="I47" i="17"/>
  <c r="C21" i="18"/>
  <c r="M16" i="18"/>
  <c r="J46" i="17"/>
  <c r="L13" i="17"/>
  <c r="J20" i="2"/>
  <c r="E19" i="18" s="1"/>
  <c r="D19" i="18"/>
  <c r="Y14" i="21" l="1"/>
  <c r="Y39" i="21" s="1"/>
  <c r="P13" i="21"/>
  <c r="P36" i="21" s="1"/>
  <c r="S29" i="21"/>
  <c r="R31" i="21"/>
  <c r="K20" i="21"/>
  <c r="K19" i="21"/>
  <c r="Y12" i="21"/>
  <c r="K26" i="17"/>
  <c r="K25" i="17"/>
  <c r="K42" i="17" s="1"/>
  <c r="R31" i="17"/>
  <c r="S29" i="17"/>
  <c r="Z26" i="2"/>
  <c r="AA24" i="2"/>
  <c r="K15" i="17"/>
  <c r="K35" i="17"/>
  <c r="L36" i="17"/>
  <c r="H31" i="17"/>
  <c r="C23" i="18" s="1"/>
  <c r="Y12" i="17"/>
  <c r="W12" i="2"/>
  <c r="C22" i="18"/>
  <c r="J45" i="17"/>
  <c r="L11" i="18"/>
  <c r="Q13" i="21" l="1"/>
  <c r="Q36" i="21" s="1"/>
  <c r="Z14" i="21"/>
  <c r="Z39" i="21" s="1"/>
  <c r="S31" i="21"/>
  <c r="T29" i="21"/>
  <c r="Z12" i="21"/>
  <c r="K30" i="21"/>
  <c r="K33" i="21"/>
  <c r="K40" i="21"/>
  <c r="K37" i="17"/>
  <c r="T29" i="17"/>
  <c r="S31" i="17"/>
  <c r="AB24" i="2"/>
  <c r="AA26" i="2"/>
  <c r="J27" i="17"/>
  <c r="J28" i="17" s="1"/>
  <c r="Z12" i="17"/>
  <c r="X12" i="2"/>
  <c r="D27" i="18"/>
  <c r="J47" i="17"/>
  <c r="J49" i="17"/>
  <c r="M13" i="17"/>
  <c r="M11" i="18"/>
  <c r="AA14" i="21" l="1"/>
  <c r="AA39" i="21" s="1"/>
  <c r="R13" i="21"/>
  <c r="R36" i="21" s="1"/>
  <c r="L22" i="21"/>
  <c r="L23" i="21"/>
  <c r="T31" i="21"/>
  <c r="U29" i="21"/>
  <c r="AA12" i="21"/>
  <c r="T31" i="17"/>
  <c r="U29" i="17"/>
  <c r="AC24" i="2"/>
  <c r="AB26" i="2"/>
  <c r="M36" i="17"/>
  <c r="J29" i="17"/>
  <c r="J31" i="17" s="1"/>
  <c r="AA12" i="17"/>
  <c r="Y12" i="2"/>
  <c r="K30" i="2"/>
  <c r="E27" i="18"/>
  <c r="N11" i="18"/>
  <c r="AB14" i="21" l="1"/>
  <c r="AB39" i="21" s="1"/>
  <c r="U31" i="21"/>
  <c r="V29" i="21"/>
  <c r="AB12" i="21"/>
  <c r="L24" i="21"/>
  <c r="S13" i="21"/>
  <c r="S36" i="21" s="1"/>
  <c r="U31" i="17"/>
  <c r="AC26" i="2"/>
  <c r="AD24" i="2"/>
  <c r="AB12" i="17"/>
  <c r="Z12" i="2"/>
  <c r="D35" i="18"/>
  <c r="L30" i="2"/>
  <c r="F27" i="18"/>
  <c r="E30" i="18"/>
  <c r="D30" i="18"/>
  <c r="S14" i="17"/>
  <c r="N13" i="17"/>
  <c r="N36" i="17" s="1"/>
  <c r="O11" i="18"/>
  <c r="L25" i="21" l="1"/>
  <c r="L42" i="21" s="1"/>
  <c r="L35" i="21"/>
  <c r="AC14" i="21"/>
  <c r="AC39" i="21" s="1"/>
  <c r="AC12" i="21"/>
  <c r="L15" i="21"/>
  <c r="L37" i="21" s="1"/>
  <c r="V31" i="21"/>
  <c r="W29" i="21"/>
  <c r="L26" i="21"/>
  <c r="V31" i="17"/>
  <c r="AE24" i="2"/>
  <c r="AD26" i="2"/>
  <c r="S39" i="17"/>
  <c r="T14" i="17" s="1"/>
  <c r="AC12" i="17"/>
  <c r="AA12" i="2"/>
  <c r="E35" i="18"/>
  <c r="M30" i="2"/>
  <c r="O13" i="17"/>
  <c r="O36" i="17" s="1"/>
  <c r="P11" i="18"/>
  <c r="AD14" i="21" l="1"/>
  <c r="AD39" i="21" s="1"/>
  <c r="T13" i="21"/>
  <c r="T36" i="21" s="1"/>
  <c r="L44" i="21"/>
  <c r="X29" i="21"/>
  <c r="W31" i="21"/>
  <c r="AD12" i="21"/>
  <c r="W31" i="17"/>
  <c r="AF24" i="2"/>
  <c r="AE26" i="2"/>
  <c r="T39" i="17"/>
  <c r="AD12" i="17"/>
  <c r="AB12" i="2"/>
  <c r="F35" i="18"/>
  <c r="N30" i="2"/>
  <c r="P13" i="17"/>
  <c r="P36" i="17" s="1"/>
  <c r="Q11" i="18"/>
  <c r="AE14" i="21" l="1"/>
  <c r="AE39" i="21" s="1"/>
  <c r="Y29" i="21"/>
  <c r="X31" i="21"/>
  <c r="AE12" i="21"/>
  <c r="L45" i="21"/>
  <c r="L48" i="21"/>
  <c r="L46" i="21"/>
  <c r="X31" i="17"/>
  <c r="U14" i="17"/>
  <c r="U39" i="17" s="1"/>
  <c r="AF26" i="2"/>
  <c r="AG24" i="2"/>
  <c r="AE12" i="17"/>
  <c r="AC12" i="2"/>
  <c r="G35" i="18"/>
  <c r="O30" i="2"/>
  <c r="D28" i="18"/>
  <c r="Q13" i="17"/>
  <c r="Q36" i="17" s="1"/>
  <c r="R11" i="18"/>
  <c r="D18" i="18"/>
  <c r="AF14" i="21" l="1"/>
  <c r="AF39" i="21" s="1"/>
  <c r="L49" i="21"/>
  <c r="Z29" i="21"/>
  <c r="Y31" i="21"/>
  <c r="U13" i="21"/>
  <c r="U36" i="21" s="1"/>
  <c r="L47" i="21"/>
  <c r="L27" i="21"/>
  <c r="L28" i="21" s="1"/>
  <c r="L17" i="21" s="1"/>
  <c r="L38" i="21" s="1"/>
  <c r="M21" i="21" s="1"/>
  <c r="AF12" i="21"/>
  <c r="Y31" i="17"/>
  <c r="V14" i="17"/>
  <c r="V39" i="17" s="1"/>
  <c r="AG26" i="2"/>
  <c r="AH24" i="2"/>
  <c r="AF12" i="17"/>
  <c r="AD12" i="2"/>
  <c r="H35" i="18"/>
  <c r="E28" i="18"/>
  <c r="K13" i="2"/>
  <c r="P30" i="2"/>
  <c r="E20" i="18"/>
  <c r="E12" i="18"/>
  <c r="S11" i="18"/>
  <c r="D29" i="18"/>
  <c r="AA29" i="21" l="1"/>
  <c r="Z31" i="21"/>
  <c r="AG14" i="21"/>
  <c r="AG39" i="21" s="1"/>
  <c r="V13" i="21"/>
  <c r="V36" i="21" s="1"/>
  <c r="AG12" i="21"/>
  <c r="L20" i="21"/>
  <c r="L19" i="21"/>
  <c r="AA29" i="17"/>
  <c r="Z31" i="17"/>
  <c r="W14" i="17"/>
  <c r="W39" i="17" s="1"/>
  <c r="AI24" i="2"/>
  <c r="AH26" i="2"/>
  <c r="AG12" i="17"/>
  <c r="F12" i="18"/>
  <c r="K21" i="2"/>
  <c r="AE12" i="2"/>
  <c r="I35" i="18"/>
  <c r="Q30" i="2"/>
  <c r="D36" i="18"/>
  <c r="D34" i="18"/>
  <c r="T11" i="18"/>
  <c r="R13" i="17"/>
  <c r="R36" i="17" s="1"/>
  <c r="K31" i="2"/>
  <c r="J19" i="2"/>
  <c r="E18" i="18" s="1"/>
  <c r="J37" i="2"/>
  <c r="E29" i="18"/>
  <c r="AH14" i="21" l="1"/>
  <c r="AH39" i="21" s="1"/>
  <c r="L40" i="21"/>
  <c r="L33" i="21"/>
  <c r="L30" i="21"/>
  <c r="AH12" i="21"/>
  <c r="AA31" i="21"/>
  <c r="AB29" i="21"/>
  <c r="AB29" i="17"/>
  <c r="AA31" i="17"/>
  <c r="X14" i="17"/>
  <c r="X39" i="17" s="1"/>
  <c r="AJ24" i="2"/>
  <c r="AI26" i="2"/>
  <c r="AH12" i="17"/>
  <c r="AF12" i="2"/>
  <c r="D38" i="18"/>
  <c r="J35" i="18"/>
  <c r="D40" i="18"/>
  <c r="D37" i="18"/>
  <c r="F28" i="18"/>
  <c r="L13" i="2"/>
  <c r="L21" i="2" s="1"/>
  <c r="R30" i="2"/>
  <c r="J39" i="2"/>
  <c r="E34" i="18"/>
  <c r="U11" i="18"/>
  <c r="K32" i="2"/>
  <c r="AI14" i="21" l="1"/>
  <c r="AI39" i="21" s="1"/>
  <c r="M23" i="21"/>
  <c r="M22" i="21"/>
  <c r="W13" i="21"/>
  <c r="W36" i="21" s="1"/>
  <c r="AI12" i="21"/>
  <c r="AB31" i="21"/>
  <c r="AC29" i="21"/>
  <c r="AC29" i="17"/>
  <c r="AB31" i="17"/>
  <c r="AJ26" i="2"/>
  <c r="Y14" i="17"/>
  <c r="Y39" i="17" s="1"/>
  <c r="E36" i="18"/>
  <c r="J43" i="2"/>
  <c r="E40" i="18" s="1"/>
  <c r="AI12" i="17"/>
  <c r="AG12" i="2"/>
  <c r="D41" i="18"/>
  <c r="D39" i="18"/>
  <c r="K35" i="18"/>
  <c r="L31" i="2"/>
  <c r="G28" i="18" s="1"/>
  <c r="S30" i="2"/>
  <c r="J40" i="2"/>
  <c r="E37" i="18" s="1"/>
  <c r="J41" i="2"/>
  <c r="E38" i="18" s="1"/>
  <c r="G12" i="18"/>
  <c r="V11" i="18"/>
  <c r="S13" i="17"/>
  <c r="L32" i="2"/>
  <c r="AJ14" i="21" l="1"/>
  <c r="AJ39" i="21" s="1"/>
  <c r="AJ12" i="21"/>
  <c r="AC31" i="21"/>
  <c r="AD29" i="21"/>
  <c r="M24" i="21"/>
  <c r="AD29" i="17"/>
  <c r="AC31" i="17"/>
  <c r="Z14" i="17"/>
  <c r="Z39" i="17" s="1"/>
  <c r="S36" i="17"/>
  <c r="AJ12" i="17"/>
  <c r="M13" i="2"/>
  <c r="M21" i="2" s="1"/>
  <c r="AH12" i="2"/>
  <c r="L35" i="18"/>
  <c r="D21" i="18"/>
  <c r="J42" i="2"/>
  <c r="E39" i="18" s="1"/>
  <c r="T30" i="2"/>
  <c r="J22" i="2"/>
  <c r="J44" i="2"/>
  <c r="E41" i="18" s="1"/>
  <c r="D23" i="18"/>
  <c r="D22" i="18"/>
  <c r="W11" i="18"/>
  <c r="M32" i="2"/>
  <c r="D32" i="18"/>
  <c r="M25" i="21" l="1"/>
  <c r="M42" i="21" s="1"/>
  <c r="M35" i="21"/>
  <c r="M15" i="21"/>
  <c r="M37" i="21" s="1"/>
  <c r="X13" i="21"/>
  <c r="X36" i="21" s="1"/>
  <c r="M26" i="21"/>
  <c r="AE29" i="21"/>
  <c r="AD31" i="21"/>
  <c r="AE29" i="17"/>
  <c r="AD31" i="17"/>
  <c r="J24" i="2"/>
  <c r="J23" i="2"/>
  <c r="AA14" i="17"/>
  <c r="AA39" i="17" s="1"/>
  <c r="M31" i="2"/>
  <c r="H28" i="18" s="1"/>
  <c r="H12" i="18"/>
  <c r="AI12" i="2"/>
  <c r="M35" i="18"/>
  <c r="E21" i="18"/>
  <c r="U30" i="2"/>
  <c r="J26" i="2"/>
  <c r="E23" i="18" s="1"/>
  <c r="E22" i="18"/>
  <c r="T13" i="17"/>
  <c r="X11" i="18"/>
  <c r="J35" i="2"/>
  <c r="E32" i="18" s="1"/>
  <c r="N32" i="2"/>
  <c r="M44" i="21" l="1"/>
  <c r="AF29" i="21"/>
  <c r="AE31" i="21"/>
  <c r="AF29" i="17"/>
  <c r="AE31" i="17"/>
  <c r="N13" i="2"/>
  <c r="N21" i="2" s="1"/>
  <c r="AB14" i="17"/>
  <c r="AB39" i="17" s="1"/>
  <c r="T36" i="17"/>
  <c r="U13" i="17" s="1"/>
  <c r="AJ12" i="2"/>
  <c r="N35" i="18"/>
  <c r="V30" i="2"/>
  <c r="Y11" i="18"/>
  <c r="O32" i="2"/>
  <c r="I12" i="18" l="1"/>
  <c r="N31" i="2"/>
  <c r="Y13" i="21"/>
  <c r="Y36" i="21" s="1"/>
  <c r="AG29" i="21"/>
  <c r="AF31" i="21"/>
  <c r="M45" i="21"/>
  <c r="M48" i="21"/>
  <c r="M46" i="21"/>
  <c r="AG29" i="17"/>
  <c r="AF31" i="17"/>
  <c r="AC14" i="17"/>
  <c r="AC39" i="17" s="1"/>
  <c r="U36" i="17"/>
  <c r="O35" i="18"/>
  <c r="W30" i="2"/>
  <c r="I28" i="18"/>
  <c r="O13" i="2"/>
  <c r="Z11" i="18"/>
  <c r="M47" i="21" l="1"/>
  <c r="M27" i="21"/>
  <c r="M28" i="21" s="1"/>
  <c r="M17" i="21" s="1"/>
  <c r="M38" i="21" s="1"/>
  <c r="N21" i="21" s="1"/>
  <c r="AH29" i="21"/>
  <c r="AG31" i="21"/>
  <c r="M49" i="21"/>
  <c r="AH29" i="17"/>
  <c r="AG31" i="17"/>
  <c r="AD14" i="17"/>
  <c r="AD39" i="17" s="1"/>
  <c r="J12" i="18"/>
  <c r="O21" i="2"/>
  <c r="P35" i="18"/>
  <c r="X30" i="2"/>
  <c r="P32" i="2"/>
  <c r="V13" i="17"/>
  <c r="AA11" i="18"/>
  <c r="O31" i="2"/>
  <c r="Z13" i="21" l="1"/>
  <c r="Z36" i="21" s="1"/>
  <c r="AH31" i="21"/>
  <c r="AI29" i="21"/>
  <c r="M20" i="21"/>
  <c r="M19" i="21"/>
  <c r="AI29" i="17"/>
  <c r="AH31" i="17"/>
  <c r="AE14" i="17"/>
  <c r="AE39" i="17" s="1"/>
  <c r="V36" i="17"/>
  <c r="Q35" i="18"/>
  <c r="J28" i="18"/>
  <c r="P13" i="2"/>
  <c r="P21" i="2" s="1"/>
  <c r="Y30" i="2"/>
  <c r="Q32" i="2"/>
  <c r="AB11" i="18"/>
  <c r="M40" i="21" l="1"/>
  <c r="M30" i="21"/>
  <c r="M33" i="21"/>
  <c r="AI31" i="21"/>
  <c r="AJ29" i="21"/>
  <c r="AA13" i="21"/>
  <c r="AA36" i="21" s="1"/>
  <c r="AJ29" i="17"/>
  <c r="AJ31" i="17" s="1"/>
  <c r="AI31" i="17"/>
  <c r="AF14" i="17"/>
  <c r="AF39" i="17" s="1"/>
  <c r="R35" i="18"/>
  <c r="Z30" i="2"/>
  <c r="R32" i="2"/>
  <c r="K12" i="18"/>
  <c r="W13" i="17"/>
  <c r="AC11" i="18"/>
  <c r="P31" i="2"/>
  <c r="AJ31" i="21" l="1"/>
  <c r="AL31" i="21" s="1"/>
  <c r="AL29" i="21"/>
  <c r="N23" i="21"/>
  <c r="N22" i="21"/>
  <c r="AG14" i="17"/>
  <c r="AG39" i="17" s="1"/>
  <c r="W36" i="17"/>
  <c r="X13" i="17" s="1"/>
  <c r="S35" i="18"/>
  <c r="AA30" i="2"/>
  <c r="K28" i="18"/>
  <c r="Q13" i="2"/>
  <c r="S15" i="2"/>
  <c r="S32" i="2" s="1"/>
  <c r="AD11" i="18"/>
  <c r="N24" i="21" l="1"/>
  <c r="N25" i="21" s="1"/>
  <c r="N42" i="21" s="1"/>
  <c r="AB13" i="21"/>
  <c r="AB36" i="21" s="1"/>
  <c r="AH14" i="17"/>
  <c r="AH39" i="17" s="1"/>
  <c r="X36" i="17"/>
  <c r="Y13" i="17" s="1"/>
  <c r="L12" i="18"/>
  <c r="Q21" i="2"/>
  <c r="T35" i="18"/>
  <c r="T15" i="2"/>
  <c r="AB30" i="2"/>
  <c r="Q31" i="2"/>
  <c r="N26" i="21" l="1"/>
  <c r="N44" i="21" s="1"/>
  <c r="N45" i="21" s="1"/>
  <c r="N35" i="21"/>
  <c r="AC13" i="21"/>
  <c r="AC36" i="21" s="1"/>
  <c r="AB23" i="21"/>
  <c r="N48" i="21"/>
  <c r="N46" i="21"/>
  <c r="N15" i="21"/>
  <c r="N37" i="21" s="1"/>
  <c r="AI14" i="17"/>
  <c r="AI39" i="17" s="1"/>
  <c r="Y36" i="17"/>
  <c r="U35" i="18"/>
  <c r="L28" i="18"/>
  <c r="R13" i="2"/>
  <c r="AC30" i="2"/>
  <c r="T32" i="2"/>
  <c r="U15" i="2" s="1"/>
  <c r="N47" i="21" l="1"/>
  <c r="N27" i="21"/>
  <c r="N28" i="21" s="1"/>
  <c r="N17" i="21" s="1"/>
  <c r="N38" i="21" s="1"/>
  <c r="O21" i="21" s="1"/>
  <c r="N49" i="21"/>
  <c r="AB26" i="21"/>
  <c r="AC23" i="21"/>
  <c r="AJ14" i="17"/>
  <c r="AJ39" i="17" s="1"/>
  <c r="M12" i="18"/>
  <c r="R21" i="2"/>
  <c r="V35" i="18"/>
  <c r="AD30" i="2"/>
  <c r="R31" i="2"/>
  <c r="S13" i="2" s="1"/>
  <c r="Z13" i="17"/>
  <c r="N19" i="21" l="1"/>
  <c r="AC26" i="21"/>
  <c r="AD13" i="21"/>
  <c r="AD36" i="21" s="1"/>
  <c r="N20" i="21"/>
  <c r="Z36" i="17"/>
  <c r="AA13" i="17" s="1"/>
  <c r="W35" i="18"/>
  <c r="AE30" i="2"/>
  <c r="M28" i="18"/>
  <c r="U32" i="2"/>
  <c r="V15" i="2" s="1"/>
  <c r="AD23" i="21" l="1"/>
  <c r="N40" i="21"/>
  <c r="N30" i="21"/>
  <c r="N33" i="21" s="1"/>
  <c r="AA36" i="17"/>
  <c r="X35" i="18"/>
  <c r="AF30" i="2"/>
  <c r="N12" i="18"/>
  <c r="S31" i="2"/>
  <c r="T13" i="2" s="1"/>
  <c r="O23" i="21" l="1"/>
  <c r="O22" i="21"/>
  <c r="AE13" i="21"/>
  <c r="AE36" i="21" s="1"/>
  <c r="AD26" i="21"/>
  <c r="Y35" i="18"/>
  <c r="AG30" i="2"/>
  <c r="N28" i="18"/>
  <c r="V32" i="2"/>
  <c r="W15" i="2" s="1"/>
  <c r="AB13" i="17"/>
  <c r="AE23" i="21" l="1"/>
  <c r="O24" i="21"/>
  <c r="AB36" i="17"/>
  <c r="AB23" i="17"/>
  <c r="AB26" i="17" s="1"/>
  <c r="Z35" i="18"/>
  <c r="AH30" i="2"/>
  <c r="O12" i="18"/>
  <c r="T31" i="2"/>
  <c r="U13" i="2" s="1"/>
  <c r="O26" i="21" l="1"/>
  <c r="O35" i="21"/>
  <c r="O25" i="21"/>
  <c r="O42" i="21" s="1"/>
  <c r="AF13" i="21"/>
  <c r="AF36" i="21" s="1"/>
  <c r="AE26" i="21"/>
  <c r="O15" i="21"/>
  <c r="O37" i="21" s="1"/>
  <c r="AA35" i="18"/>
  <c r="AI30" i="2"/>
  <c r="O28" i="18"/>
  <c r="W32" i="2"/>
  <c r="X15" i="2" s="1"/>
  <c r="AC13" i="17"/>
  <c r="O44" i="21" l="1"/>
  <c r="O45" i="21" s="1"/>
  <c r="O47" i="21" s="1"/>
  <c r="AG13" i="21"/>
  <c r="AG36" i="21" s="1"/>
  <c r="AF23" i="21"/>
  <c r="AC36" i="17"/>
  <c r="AC23" i="17"/>
  <c r="AC26" i="17" s="1"/>
  <c r="AB35" i="18"/>
  <c r="AJ30" i="2"/>
  <c r="P12" i="18"/>
  <c r="U31" i="2"/>
  <c r="V13" i="2" s="1"/>
  <c r="O46" i="21" l="1"/>
  <c r="O48" i="21"/>
  <c r="O49" i="21" s="1"/>
  <c r="AH13" i="21"/>
  <c r="AH36" i="21" s="1"/>
  <c r="AF26" i="21"/>
  <c r="AG23" i="21"/>
  <c r="AC35" i="18"/>
  <c r="P28" i="18"/>
  <c r="X32" i="2"/>
  <c r="Y15" i="2" s="1"/>
  <c r="AD13" i="17"/>
  <c r="O27" i="21" l="1"/>
  <c r="O28" i="21" s="1"/>
  <c r="O17" i="21" s="1"/>
  <c r="O38" i="21" s="1"/>
  <c r="P21" i="21" s="1"/>
  <c r="AG26" i="21"/>
  <c r="AI13" i="21"/>
  <c r="AI36" i="21" s="1"/>
  <c r="AH23" i="21"/>
  <c r="AD36" i="17"/>
  <c r="AD23" i="17"/>
  <c r="AD26" i="17" s="1"/>
  <c r="AD35" i="18"/>
  <c r="Q12" i="18"/>
  <c r="V31" i="2"/>
  <c r="W13" i="2" s="1"/>
  <c r="O19" i="21" l="1"/>
  <c r="O20" i="21"/>
  <c r="O30" i="21" s="1"/>
  <c r="O33" i="21" s="1"/>
  <c r="AI23" i="21"/>
  <c r="AH26" i="21"/>
  <c r="AE13" i="17"/>
  <c r="Q28" i="18"/>
  <c r="Y32" i="2"/>
  <c r="Z15" i="2" s="1"/>
  <c r="O40" i="21" l="1"/>
  <c r="AJ13" i="21"/>
  <c r="AJ36" i="21" s="1"/>
  <c r="AI26" i="21"/>
  <c r="AE36" i="17"/>
  <c r="AE23" i="17"/>
  <c r="AE26" i="17" s="1"/>
  <c r="R12" i="18"/>
  <c r="W31" i="2"/>
  <c r="X13" i="2" s="1"/>
  <c r="P22" i="21" l="1"/>
  <c r="P23" i="21"/>
  <c r="P24" i="21" s="1"/>
  <c r="P15" i="21" s="1"/>
  <c r="P37" i="21" s="1"/>
  <c r="AJ23" i="21"/>
  <c r="AF13" i="17"/>
  <c r="R28" i="18"/>
  <c r="X31" i="2"/>
  <c r="Y13" i="2" s="1"/>
  <c r="Z32" i="2"/>
  <c r="AA15" i="2" s="1"/>
  <c r="P25" i="21" l="1"/>
  <c r="P42" i="21" s="1"/>
  <c r="P35" i="21"/>
  <c r="P26" i="21"/>
  <c r="P44" i="21" s="1"/>
  <c r="P45" i="21" s="1"/>
  <c r="P47" i="21" s="1"/>
  <c r="AJ26" i="21"/>
  <c r="AF36" i="17"/>
  <c r="AG13" i="17" s="1"/>
  <c r="AF23" i="17"/>
  <c r="AF26" i="17" s="1"/>
  <c r="S28" i="18"/>
  <c r="Y31" i="2"/>
  <c r="Z13" i="2" s="1"/>
  <c r="S12" i="18"/>
  <c r="P46" i="21" l="1"/>
  <c r="P48" i="21"/>
  <c r="P49" i="21" s="1"/>
  <c r="AG36" i="17"/>
  <c r="AH13" i="17" s="1"/>
  <c r="AG23" i="17"/>
  <c r="AG26" i="17" s="1"/>
  <c r="T28" i="18"/>
  <c r="Z31" i="2"/>
  <c r="AA13" i="2" s="1"/>
  <c r="T12" i="18"/>
  <c r="AA32" i="2"/>
  <c r="AB15" i="2" s="1"/>
  <c r="P27" i="21" l="1"/>
  <c r="P28" i="21" s="1"/>
  <c r="P17" i="21" s="1"/>
  <c r="AH36" i="17"/>
  <c r="AH23" i="17"/>
  <c r="AH26" i="17" s="1"/>
  <c r="U28" i="18"/>
  <c r="U12" i="18"/>
  <c r="P38" i="21" l="1"/>
  <c r="P20" i="21"/>
  <c r="P30" i="21" s="1"/>
  <c r="P33" i="21" s="1"/>
  <c r="P19" i="21"/>
  <c r="V12" i="18"/>
  <c r="AA31" i="2"/>
  <c r="AB13" i="2" s="1"/>
  <c r="AB32" i="2"/>
  <c r="AC15" i="2" s="1"/>
  <c r="AI13" i="17"/>
  <c r="Q21" i="21" l="1"/>
  <c r="P40" i="21"/>
  <c r="AI36" i="17"/>
  <c r="AI23" i="17"/>
  <c r="AI26" i="17" s="1"/>
  <c r="V28" i="18"/>
  <c r="Q22" i="21" l="1"/>
  <c r="Q23" i="21"/>
  <c r="Q24" i="21" s="1"/>
  <c r="Q15" i="21" s="1"/>
  <c r="Q37" i="21" s="1"/>
  <c r="R37" i="21" s="1"/>
  <c r="S15" i="21" s="1"/>
  <c r="S37" i="21" s="1"/>
  <c r="T15" i="21" s="1"/>
  <c r="T37" i="21" s="1"/>
  <c r="Q26" i="21"/>
  <c r="AC32" i="2"/>
  <c r="AD15" i="2" s="1"/>
  <c r="AJ13" i="17"/>
  <c r="W12" i="18"/>
  <c r="AB31" i="2"/>
  <c r="AC13" i="2" s="1"/>
  <c r="Q25" i="21" l="1"/>
  <c r="Q42" i="21" s="1"/>
  <c r="Q35" i="21"/>
  <c r="R35" i="21" s="1"/>
  <c r="S35" i="21" s="1"/>
  <c r="T35" i="21" s="1"/>
  <c r="U35" i="21" s="1"/>
  <c r="V35" i="21" s="1"/>
  <c r="W35" i="21" s="1"/>
  <c r="X35" i="21" s="1"/>
  <c r="Y35" i="21" s="1"/>
  <c r="Z35" i="21" s="1"/>
  <c r="AA35" i="21" s="1"/>
  <c r="AB35" i="21" s="1"/>
  <c r="AC35" i="21" s="1"/>
  <c r="AD35" i="21" s="1"/>
  <c r="AE35" i="21" s="1"/>
  <c r="AF35" i="21" s="1"/>
  <c r="AG35" i="21" s="1"/>
  <c r="AH35" i="21" s="1"/>
  <c r="AI35" i="21" s="1"/>
  <c r="AJ35" i="21" s="1"/>
  <c r="Q44" i="21"/>
  <c r="AJ36" i="17"/>
  <c r="AJ23" i="17"/>
  <c r="AJ26" i="17" s="1"/>
  <c r="W28" i="18"/>
  <c r="AC31" i="2"/>
  <c r="AD13" i="2" s="1"/>
  <c r="U15" i="21" l="1"/>
  <c r="U37" i="21" s="1"/>
  <c r="Q46" i="21"/>
  <c r="Q45" i="21"/>
  <c r="Q48" i="21"/>
  <c r="X28" i="18"/>
  <c r="AD31" i="2"/>
  <c r="AE13" i="2" s="1"/>
  <c r="AD32" i="2"/>
  <c r="AE15" i="2" s="1"/>
  <c r="X12" i="18"/>
  <c r="Q47" i="21" l="1"/>
  <c r="Q27" i="21"/>
  <c r="Q28" i="21" s="1"/>
  <c r="Q17" i="21" s="1"/>
  <c r="Q38" i="21" s="1"/>
  <c r="R21" i="21" s="1"/>
  <c r="Q49" i="21"/>
  <c r="Y28" i="18"/>
  <c r="Y12" i="18"/>
  <c r="V15" i="21" l="1"/>
  <c r="V37" i="21" s="1"/>
  <c r="Q20" i="21"/>
  <c r="Q19" i="21"/>
  <c r="Z12" i="18"/>
  <c r="AE32" i="2"/>
  <c r="AF15" i="2" s="1"/>
  <c r="AE31" i="2"/>
  <c r="AF13" i="2" s="1"/>
  <c r="Q40" i="21" l="1"/>
  <c r="Q30" i="21"/>
  <c r="Q33" i="21" s="1"/>
  <c r="Z28" i="18"/>
  <c r="AF31" i="2"/>
  <c r="AG13" i="2" s="1"/>
  <c r="W15" i="21" l="1"/>
  <c r="W37" i="21" s="1"/>
  <c r="R22" i="21"/>
  <c r="R25" i="21" s="1"/>
  <c r="R42" i="21" s="1"/>
  <c r="R23" i="21"/>
  <c r="AA28" i="18"/>
  <c r="AF32" i="2"/>
  <c r="AG15" i="2" s="1"/>
  <c r="AA12" i="18"/>
  <c r="AG31" i="2"/>
  <c r="R26" i="21" l="1"/>
  <c r="AB28" i="18"/>
  <c r="AH13" i="2"/>
  <c r="AB12" i="18"/>
  <c r="X15" i="21" l="1"/>
  <c r="X37" i="21" s="1"/>
  <c r="R44" i="21"/>
  <c r="AH31" i="2"/>
  <c r="AG32" i="2"/>
  <c r="AH15" i="2" s="1"/>
  <c r="AC12" i="18"/>
  <c r="R46" i="21" l="1"/>
  <c r="R45" i="21"/>
  <c r="R48" i="21"/>
  <c r="Y15" i="21"/>
  <c r="Y37" i="21" s="1"/>
  <c r="AC28" i="18"/>
  <c r="AI13" i="2"/>
  <c r="R49" i="21" l="1"/>
  <c r="R47" i="21"/>
  <c r="R27" i="21"/>
  <c r="R28" i="21" s="1"/>
  <c r="R17" i="21" s="1"/>
  <c r="R38" i="21" s="1"/>
  <c r="S21" i="21" s="1"/>
  <c r="AI31" i="2"/>
  <c r="AD28" i="18" s="1"/>
  <c r="AD12" i="18"/>
  <c r="AH32" i="2"/>
  <c r="AI15" i="2" s="1"/>
  <c r="AJ13" i="2" l="1"/>
  <c r="Z15" i="21"/>
  <c r="Z37" i="21" s="1"/>
  <c r="R20" i="21"/>
  <c r="R19" i="21"/>
  <c r="AJ31" i="2"/>
  <c r="R40" i="21" l="1"/>
  <c r="R30" i="21"/>
  <c r="R33" i="21" s="1"/>
  <c r="AI32" i="2"/>
  <c r="AJ15" i="2" s="1"/>
  <c r="S23" i="21" l="1"/>
  <c r="S22" i="21"/>
  <c r="S25" i="21" s="1"/>
  <c r="S42" i="21" s="1"/>
  <c r="AA15" i="21"/>
  <c r="AA37" i="21" s="1"/>
  <c r="AJ32" i="2"/>
  <c r="AB15" i="21" l="1"/>
  <c r="AB37" i="21" s="1"/>
  <c r="S26" i="21"/>
  <c r="K34" i="2"/>
  <c r="AC15" i="21" l="1"/>
  <c r="AC37" i="21" s="1"/>
  <c r="S44" i="21"/>
  <c r="L34" i="2"/>
  <c r="G31" i="18" s="1"/>
  <c r="F31" i="18"/>
  <c r="S46" i="21" l="1"/>
  <c r="S45" i="21"/>
  <c r="S48" i="21"/>
  <c r="M34" i="2"/>
  <c r="H31" i="18" s="1"/>
  <c r="S47" i="21" l="1"/>
  <c r="S27" i="21"/>
  <c r="S28" i="21" s="1"/>
  <c r="AD15" i="21"/>
  <c r="AD37" i="21" s="1"/>
  <c r="S49" i="21"/>
  <c r="N34" i="2"/>
  <c r="I31" i="18" s="1"/>
  <c r="S17" i="21" l="1"/>
  <c r="S38" i="21" s="1"/>
  <c r="T21" i="21" s="1"/>
  <c r="O34" i="2"/>
  <c r="J31" i="18" s="1"/>
  <c r="S20" i="21" l="1"/>
  <c r="S19" i="21"/>
  <c r="S30" i="21"/>
  <c r="AE15" i="21"/>
  <c r="AE37" i="21" s="1"/>
  <c r="P34" i="2"/>
  <c r="K31" i="18" s="1"/>
  <c r="S40" i="21" l="1"/>
  <c r="S33" i="21"/>
  <c r="Q34" i="2"/>
  <c r="L31" i="18" s="1"/>
  <c r="T22" i="21" l="1"/>
  <c r="T25" i="21" s="1"/>
  <c r="T42" i="21" s="1"/>
  <c r="T23" i="21"/>
  <c r="AF15" i="21"/>
  <c r="AF37" i="21" s="1"/>
  <c r="R34" i="2"/>
  <c r="M31" i="18" s="1"/>
  <c r="T26" i="21" l="1"/>
  <c r="T44" i="21"/>
  <c r="S14" i="2"/>
  <c r="T45" i="21" l="1"/>
  <c r="T48" i="21"/>
  <c r="T46" i="21"/>
  <c r="AG15" i="21"/>
  <c r="AG37" i="21" s="1"/>
  <c r="N16" i="18"/>
  <c r="S21" i="2"/>
  <c r="S34" i="2"/>
  <c r="T49" i="21" l="1"/>
  <c r="T47" i="21"/>
  <c r="T27" i="21"/>
  <c r="T28" i="21" s="1"/>
  <c r="N31" i="18"/>
  <c r="T14" i="2"/>
  <c r="T21" i="2" s="1"/>
  <c r="T17" i="21" l="1"/>
  <c r="T38" i="21" s="1"/>
  <c r="U21" i="21" s="1"/>
  <c r="AH15" i="21"/>
  <c r="AH37" i="21" s="1"/>
  <c r="O16" i="18"/>
  <c r="T34" i="2"/>
  <c r="U14" i="2" s="1"/>
  <c r="U21" i="2" s="1"/>
  <c r="O31" i="18" l="1"/>
  <c r="T20" i="21"/>
  <c r="T19" i="21"/>
  <c r="T30" i="21"/>
  <c r="U34" i="2"/>
  <c r="P31" i="18" s="1"/>
  <c r="P16" i="18"/>
  <c r="T40" i="21" l="1"/>
  <c r="T33" i="21"/>
  <c r="AI15" i="21"/>
  <c r="AI37" i="21" s="1"/>
  <c r="V14" i="2"/>
  <c r="V21" i="2" s="1"/>
  <c r="U23" i="21" l="1"/>
  <c r="U22" i="21"/>
  <c r="U25" i="21" s="1"/>
  <c r="U42" i="21" s="1"/>
  <c r="Q16" i="18"/>
  <c r="V34" i="2"/>
  <c r="U44" i="21" l="1"/>
  <c r="U26" i="21"/>
  <c r="AJ15" i="21"/>
  <c r="AJ37" i="21" s="1"/>
  <c r="W14" i="2"/>
  <c r="W34" i="2" s="1"/>
  <c r="Q31" i="18"/>
  <c r="U45" i="21" l="1"/>
  <c r="U48" i="21"/>
  <c r="U46" i="21"/>
  <c r="R16" i="18"/>
  <c r="W21" i="2"/>
  <c r="X14" i="2"/>
  <c r="X34" i="2" s="1"/>
  <c r="R31" i="18"/>
  <c r="U49" i="21" l="1"/>
  <c r="U47" i="21"/>
  <c r="U27" i="21"/>
  <c r="U28" i="21" s="1"/>
  <c r="S16" i="18"/>
  <c r="X21" i="2"/>
  <c r="Y14" i="2"/>
  <c r="S31" i="18"/>
  <c r="U17" i="21" l="1"/>
  <c r="U38" i="21" s="1"/>
  <c r="V21" i="21" s="1"/>
  <c r="Y34" i="2"/>
  <c r="T31" i="18" s="1"/>
  <c r="Y21" i="2"/>
  <c r="T16" i="18"/>
  <c r="Z14" i="2" l="1"/>
  <c r="U20" i="21"/>
  <c r="U19" i="21"/>
  <c r="U30" i="21"/>
  <c r="Z34" i="2"/>
  <c r="U31" i="18" s="1"/>
  <c r="Z21" i="2"/>
  <c r="AA14" i="2"/>
  <c r="U16" i="18"/>
  <c r="U40" i="21" l="1"/>
  <c r="U33" i="21"/>
  <c r="V33" i="21" s="1"/>
  <c r="W33" i="21" s="1"/>
  <c r="X33" i="21" s="1"/>
  <c r="Y33" i="21" s="1"/>
  <c r="Z33" i="21" s="1"/>
  <c r="AA33" i="21" s="1"/>
  <c r="AB33" i="21" s="1"/>
  <c r="AC33" i="21" s="1"/>
  <c r="AD33" i="21" s="1"/>
  <c r="AE33" i="21" s="1"/>
  <c r="AF33" i="21" s="1"/>
  <c r="AG33" i="21" s="1"/>
  <c r="AH33" i="21" s="1"/>
  <c r="AI33" i="21" s="1"/>
  <c r="AJ33" i="21" s="1"/>
  <c r="V16" i="18"/>
  <c r="AA21" i="2"/>
  <c r="AA34" i="2"/>
  <c r="V23" i="21" l="1"/>
  <c r="V22" i="21"/>
  <c r="V25" i="21" s="1"/>
  <c r="V42" i="21" s="1"/>
  <c r="AB14" i="2"/>
  <c r="V31" i="18"/>
  <c r="V44" i="21" l="1"/>
  <c r="V26" i="21"/>
  <c r="W16" i="18"/>
  <c r="AB21" i="2"/>
  <c r="AB34" i="2"/>
  <c r="V48" i="21" l="1"/>
  <c r="V46" i="21"/>
  <c r="V45" i="21"/>
  <c r="AC14" i="2"/>
  <c r="AC34" i="2" s="1"/>
  <c r="W31" i="18"/>
  <c r="V47" i="21" l="1"/>
  <c r="V27" i="21"/>
  <c r="V28" i="21" s="1"/>
  <c r="V49" i="21"/>
  <c r="X16" i="18"/>
  <c r="AC21" i="2"/>
  <c r="AD14" i="2"/>
  <c r="X31" i="18"/>
  <c r="V17" i="21" l="1"/>
  <c r="V38" i="21" s="1"/>
  <c r="W21" i="21" s="1"/>
  <c r="AD34" i="2"/>
  <c r="AE14" i="2" s="1"/>
  <c r="AE21" i="2" s="1"/>
  <c r="AD21" i="2"/>
  <c r="Y31" i="18"/>
  <c r="Y16" i="18"/>
  <c r="V20" i="21" l="1"/>
  <c r="V19" i="21"/>
  <c r="V30" i="21"/>
  <c r="AE34" i="2"/>
  <c r="Z31" i="18" s="1"/>
  <c r="AF14" i="2"/>
  <c r="Z16" i="18"/>
  <c r="AF34" i="2" l="1"/>
  <c r="V40" i="21"/>
  <c r="AA16" i="18"/>
  <c r="AF21" i="2"/>
  <c r="AG14" i="2"/>
  <c r="AA31" i="18"/>
  <c r="W22" i="21" l="1"/>
  <c r="W25" i="21" s="1"/>
  <c r="W42" i="21" s="1"/>
  <c r="W23" i="21"/>
  <c r="AB16" i="18"/>
  <c r="AG21" i="2"/>
  <c r="AG34" i="2"/>
  <c r="W44" i="21" l="1"/>
  <c r="W26" i="21"/>
  <c r="AH14" i="2"/>
  <c r="AH34" i="2" s="1"/>
  <c r="AB31" i="18"/>
  <c r="W48" i="21" l="1"/>
  <c r="W46" i="21"/>
  <c r="W45" i="21"/>
  <c r="AC16" i="18"/>
  <c r="AH21" i="2"/>
  <c r="AI14" i="2"/>
  <c r="AC31" i="18"/>
  <c r="W47" i="21" l="1"/>
  <c r="W27" i="21"/>
  <c r="W28" i="21" s="1"/>
  <c r="W49" i="21"/>
  <c r="AD16" i="18"/>
  <c r="AI21" i="2"/>
  <c r="AI34" i="2"/>
  <c r="W17" i="21" l="1"/>
  <c r="W38" i="21" s="1"/>
  <c r="X21" i="21" s="1"/>
  <c r="AJ14" i="2"/>
  <c r="AJ21" i="2" s="1"/>
  <c r="AD31" i="18"/>
  <c r="W20" i="21" l="1"/>
  <c r="W19" i="21"/>
  <c r="W30" i="21"/>
  <c r="AJ34" i="2"/>
  <c r="W40" i="21" l="1"/>
  <c r="L37" i="2"/>
  <c r="X23" i="21" l="1"/>
  <c r="X22" i="21"/>
  <c r="X25" i="21" s="1"/>
  <c r="X42" i="21" s="1"/>
  <c r="L39" i="2"/>
  <c r="L43" i="2" s="1"/>
  <c r="X44" i="21" l="1"/>
  <c r="X26" i="21"/>
  <c r="L40" i="2"/>
  <c r="L41" i="2"/>
  <c r="X46" i="21" l="1"/>
  <c r="X45" i="21"/>
  <c r="X48" i="21"/>
  <c r="L22" i="2"/>
  <c r="L44" i="2"/>
  <c r="L42" i="2"/>
  <c r="X49" i="21" l="1"/>
  <c r="X47" i="21"/>
  <c r="X27" i="21"/>
  <c r="X28" i="21" s="1"/>
  <c r="L17" i="2"/>
  <c r="L20" i="2" s="1"/>
  <c r="L25" i="2" s="1"/>
  <c r="L23" i="2"/>
  <c r="L19" i="2"/>
  <c r="X17" i="21" l="1"/>
  <c r="X38" i="21" s="1"/>
  <c r="Y21" i="21" s="1"/>
  <c r="L26" i="2"/>
  <c r="X20" i="21" l="1"/>
  <c r="X19" i="21"/>
  <c r="X30" i="21"/>
  <c r="M37" i="2"/>
  <c r="X40" i="21" l="1"/>
  <c r="M39" i="2"/>
  <c r="M43" i="2" s="1"/>
  <c r="N37" i="2"/>
  <c r="Y22" i="21" l="1"/>
  <c r="Y25" i="21" s="1"/>
  <c r="Y42" i="21" s="1"/>
  <c r="Y23" i="21"/>
  <c r="O37" i="2"/>
  <c r="N39" i="2"/>
  <c r="N43" i="2" s="1"/>
  <c r="M41" i="2"/>
  <c r="M40" i="2"/>
  <c r="M22" i="2" s="1"/>
  <c r="M17" i="2" l="1"/>
  <c r="M23" i="2"/>
  <c r="Y44" i="21"/>
  <c r="Y26" i="21"/>
  <c r="M20" i="2"/>
  <c r="N41" i="2"/>
  <c r="N40" i="2"/>
  <c r="N22" i="2" s="1"/>
  <c r="P37" i="2"/>
  <c r="M44" i="2"/>
  <c r="M42" i="2"/>
  <c r="O39" i="2"/>
  <c r="O43" i="2" s="1"/>
  <c r="N17" i="2" l="1"/>
  <c r="N23" i="2"/>
  <c r="Y46" i="21"/>
  <c r="Y45" i="21"/>
  <c r="Y48" i="21"/>
  <c r="M26" i="2"/>
  <c r="M25" i="2"/>
  <c r="P39" i="2"/>
  <c r="P43" i="2" s="1"/>
  <c r="Q37" i="2"/>
  <c r="N42" i="2"/>
  <c r="N44" i="2"/>
  <c r="O41" i="2"/>
  <c r="O40" i="2"/>
  <c r="O22" i="2" s="1"/>
  <c r="O17" i="2" l="1"/>
  <c r="O23" i="2"/>
  <c r="Y49" i="21"/>
  <c r="Y47" i="21"/>
  <c r="Y27" i="21"/>
  <c r="Y28" i="21" s="1"/>
  <c r="M19" i="2"/>
  <c r="N20" i="2"/>
  <c r="N25" i="2" s="1"/>
  <c r="N19" i="2"/>
  <c r="R37" i="2"/>
  <c r="O44" i="2"/>
  <c r="O42" i="2"/>
  <c r="P41" i="2"/>
  <c r="P40" i="2"/>
  <c r="P22" i="2" s="1"/>
  <c r="Q39" i="2"/>
  <c r="Q43" i="2" s="1"/>
  <c r="P17" i="2" l="1"/>
  <c r="P23" i="2"/>
  <c r="Y18" i="21"/>
  <c r="Y17" i="21"/>
  <c r="Y38" i="21" s="1"/>
  <c r="Z21" i="21" s="1"/>
  <c r="N26" i="2"/>
  <c r="O20" i="2"/>
  <c r="O25" i="2" s="1"/>
  <c r="O19" i="2"/>
  <c r="P44" i="2"/>
  <c r="S37" i="2"/>
  <c r="Q41" i="2"/>
  <c r="Q40" i="2"/>
  <c r="R39" i="2"/>
  <c r="R43" i="2" s="1"/>
  <c r="P42" i="2"/>
  <c r="Y20" i="21" l="1"/>
  <c r="Y19" i="21"/>
  <c r="Y30" i="21"/>
  <c r="Q22" i="2"/>
  <c r="O26" i="2"/>
  <c r="P20" i="2"/>
  <c r="P25" i="2" s="1"/>
  <c r="P19" i="2"/>
  <c r="Q44" i="2"/>
  <c r="Q42" i="2"/>
  <c r="S39" i="2"/>
  <c r="S43" i="2" s="1"/>
  <c r="T37" i="2"/>
  <c r="R40" i="2"/>
  <c r="R41" i="2"/>
  <c r="Q17" i="2" l="1"/>
  <c r="Q23" i="2"/>
  <c r="Y40" i="21"/>
  <c r="R22" i="2"/>
  <c r="Q20" i="2"/>
  <c r="Q25" i="2" s="1"/>
  <c r="Q19" i="2"/>
  <c r="P26" i="2"/>
  <c r="S41" i="2"/>
  <c r="S40" i="2"/>
  <c r="S22" i="2" s="1"/>
  <c r="R44" i="2"/>
  <c r="U37" i="2"/>
  <c r="R42" i="2"/>
  <c r="T39" i="2"/>
  <c r="T43" i="2" s="1"/>
  <c r="S17" i="2" l="1"/>
  <c r="S23" i="2"/>
  <c r="R17" i="2"/>
  <c r="R20" i="2" s="1"/>
  <c r="R25" i="2" s="1"/>
  <c r="R23" i="2"/>
  <c r="Z22" i="21"/>
  <c r="Z25" i="21" s="1"/>
  <c r="Z42" i="21" s="1"/>
  <c r="Z23" i="21"/>
  <c r="S26" i="2"/>
  <c r="Q26" i="2"/>
  <c r="T41" i="2"/>
  <c r="T40" i="2"/>
  <c r="T22" i="2" s="1"/>
  <c r="S42" i="2"/>
  <c r="S44" i="2"/>
  <c r="U39" i="2"/>
  <c r="U43" i="2" s="1"/>
  <c r="V37" i="2"/>
  <c r="T17" i="2" l="1"/>
  <c r="T23" i="2"/>
  <c r="R19" i="2"/>
  <c r="Z26" i="21"/>
  <c r="Z44" i="21"/>
  <c r="S20" i="2"/>
  <c r="S25" i="2" s="1"/>
  <c r="S19" i="2"/>
  <c r="T20" i="2"/>
  <c r="T19" i="2"/>
  <c r="R26" i="2"/>
  <c r="T42" i="2"/>
  <c r="U40" i="2"/>
  <c r="U22" i="2" s="1"/>
  <c r="U41" i="2"/>
  <c r="V39" i="2"/>
  <c r="V43" i="2" s="1"/>
  <c r="W37" i="2"/>
  <c r="T44" i="2"/>
  <c r="U17" i="2" l="1"/>
  <c r="U23" i="2"/>
  <c r="Z46" i="21"/>
  <c r="Z45" i="21"/>
  <c r="Z48" i="21"/>
  <c r="U19" i="2"/>
  <c r="U20" i="2"/>
  <c r="T25" i="2"/>
  <c r="U44" i="2"/>
  <c r="X37" i="2"/>
  <c r="V41" i="2"/>
  <c r="V40" i="2"/>
  <c r="V22" i="2" s="1"/>
  <c r="U42" i="2"/>
  <c r="W39" i="2"/>
  <c r="W43" i="2" s="1"/>
  <c r="V17" i="2" l="1"/>
  <c r="V23" i="2"/>
  <c r="Z47" i="21"/>
  <c r="Z27" i="21"/>
  <c r="Z28" i="21" s="1"/>
  <c r="Z49" i="21"/>
  <c r="V20" i="2"/>
  <c r="V19" i="2"/>
  <c r="U25" i="2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W41" i="2"/>
  <c r="W40" i="2"/>
  <c r="W22" i="2" s="1"/>
  <c r="X39" i="2"/>
  <c r="X43" i="2" s="1"/>
  <c r="V42" i="2"/>
  <c r="Y37" i="2"/>
  <c r="V44" i="2"/>
  <c r="W17" i="2" l="1"/>
  <c r="W23" i="2"/>
  <c r="Z18" i="21"/>
  <c r="Z17" i="21"/>
  <c r="Z38" i="21" s="1"/>
  <c r="AA21" i="21" s="1"/>
  <c r="W20" i="2"/>
  <c r="W19" i="2"/>
  <c r="W42" i="2"/>
  <c r="Y39" i="2"/>
  <c r="Y43" i="2" s="1"/>
  <c r="Z37" i="2"/>
  <c r="X41" i="2"/>
  <c r="X40" i="2"/>
  <c r="X22" i="2" s="1"/>
  <c r="W44" i="2"/>
  <c r="X17" i="2" l="1"/>
  <c r="X23" i="2"/>
  <c r="Z20" i="21"/>
  <c r="Z19" i="21"/>
  <c r="Z30" i="21"/>
  <c r="X19" i="2"/>
  <c r="X20" i="2"/>
  <c r="Z39" i="2"/>
  <c r="Z43" i="2" s="1"/>
  <c r="X42" i="2"/>
  <c r="X44" i="2"/>
  <c r="Y40" i="2"/>
  <c r="Y22" i="2" s="1"/>
  <c r="Y41" i="2"/>
  <c r="AA37" i="2"/>
  <c r="Y17" i="2" l="1"/>
  <c r="Y23" i="2"/>
  <c r="Z40" i="21"/>
  <c r="Y19" i="2"/>
  <c r="Y20" i="2"/>
  <c r="AA39" i="2"/>
  <c r="AA43" i="2" s="1"/>
  <c r="Y42" i="2"/>
  <c r="Z40" i="2"/>
  <c r="Z22" i="2" s="1"/>
  <c r="Z23" i="2" s="1"/>
  <c r="Z41" i="2"/>
  <c r="AB37" i="2"/>
  <c r="Y44" i="2"/>
  <c r="AA23" i="21" l="1"/>
  <c r="AA22" i="21"/>
  <c r="AA25" i="21" s="1"/>
  <c r="AA42" i="21" s="1"/>
  <c r="Z17" i="2"/>
  <c r="Z18" i="2"/>
  <c r="Z19" i="2"/>
  <c r="Z20" i="2"/>
  <c r="AB39" i="2"/>
  <c r="AB43" i="2" s="1"/>
  <c r="AA40" i="2"/>
  <c r="AA22" i="2" s="1"/>
  <c r="AA23" i="2" s="1"/>
  <c r="AA41" i="2"/>
  <c r="AC37" i="2"/>
  <c r="Z44" i="2"/>
  <c r="Z42" i="2"/>
  <c r="AA26" i="21" l="1"/>
  <c r="AL26" i="21" s="1"/>
  <c r="AA44" i="21"/>
  <c r="AL23" i="21"/>
  <c r="AA18" i="2"/>
  <c r="AA17" i="2"/>
  <c r="AA19" i="2" s="1"/>
  <c r="AA20" i="2"/>
  <c r="AA42" i="2"/>
  <c r="AA44" i="2"/>
  <c r="AD37" i="2"/>
  <c r="AB41" i="2"/>
  <c r="AB40" i="2"/>
  <c r="AB22" i="2" s="1"/>
  <c r="AB23" i="2" s="1"/>
  <c r="AC39" i="2"/>
  <c r="AC43" i="2" s="1"/>
  <c r="AA46" i="21" l="1"/>
  <c r="AA45" i="21"/>
  <c r="AA48" i="21"/>
  <c r="AB17" i="2"/>
  <c r="AB18" i="2"/>
  <c r="AB19" i="2"/>
  <c r="AB20" i="2"/>
  <c r="AD39" i="2"/>
  <c r="AD43" i="2" s="1"/>
  <c r="AE37" i="2"/>
  <c r="AC41" i="2"/>
  <c r="AC40" i="2"/>
  <c r="AC22" i="2" s="1"/>
  <c r="AB44" i="2"/>
  <c r="AB42" i="2"/>
  <c r="AC17" i="2" l="1"/>
  <c r="AC23" i="2"/>
  <c r="AA47" i="21"/>
  <c r="AA27" i="21"/>
  <c r="AA28" i="21" s="1"/>
  <c r="AA49" i="21"/>
  <c r="AC20" i="2"/>
  <c r="AC19" i="2"/>
  <c r="AF37" i="2"/>
  <c r="AC44" i="2"/>
  <c r="AC42" i="2"/>
  <c r="AE39" i="2"/>
  <c r="AE43" i="2" s="1"/>
  <c r="AD41" i="2"/>
  <c r="AD40" i="2"/>
  <c r="AD22" i="2" s="1"/>
  <c r="AD17" i="2" l="1"/>
  <c r="AD23" i="2"/>
  <c r="AA17" i="21"/>
  <c r="AA38" i="21" s="1"/>
  <c r="AB21" i="21" s="1"/>
  <c r="AA18" i="21"/>
  <c r="AD20" i="2"/>
  <c r="AD19" i="2"/>
  <c r="AG37" i="2"/>
  <c r="AD44" i="2"/>
  <c r="AD42" i="2"/>
  <c r="AF39" i="2"/>
  <c r="AF43" i="2" s="1"/>
  <c r="AE40" i="2"/>
  <c r="AE22" i="2" s="1"/>
  <c r="AE41" i="2"/>
  <c r="AE17" i="2" l="1"/>
  <c r="AE23" i="2"/>
  <c r="AA20" i="21"/>
  <c r="AA19" i="21"/>
  <c r="AA30" i="21"/>
  <c r="AE20" i="2"/>
  <c r="AE19" i="2"/>
  <c r="AE42" i="2"/>
  <c r="AE44" i="2"/>
  <c r="AH37" i="2"/>
  <c r="AF41" i="2"/>
  <c r="AF40" i="2"/>
  <c r="AF22" i="2" s="1"/>
  <c r="AG39" i="2"/>
  <c r="AG43" i="2" s="1"/>
  <c r="AF17" i="2" l="1"/>
  <c r="AF23" i="2"/>
  <c r="AB22" i="21"/>
  <c r="AB25" i="21" s="1"/>
  <c r="AA40" i="21"/>
  <c r="AF19" i="2"/>
  <c r="AF20" i="2"/>
  <c r="AH39" i="2"/>
  <c r="AH43" i="2" s="1"/>
  <c r="AG40" i="2"/>
  <c r="AG22" i="2" s="1"/>
  <c r="AG41" i="2"/>
  <c r="AI37" i="2"/>
  <c r="AF44" i="2"/>
  <c r="AF42" i="2"/>
  <c r="AJ37" i="2"/>
  <c r="AJ39" i="2" s="1"/>
  <c r="AJ43" i="2" s="1"/>
  <c r="AL21" i="2"/>
  <c r="AG17" i="2" l="1"/>
  <c r="AG23" i="2"/>
  <c r="AB42" i="21"/>
  <c r="AB44" i="21" s="1"/>
  <c r="AG19" i="2"/>
  <c r="AG20" i="2"/>
  <c r="AG42" i="2"/>
  <c r="AI39" i="2"/>
  <c r="AI43" i="2" s="1"/>
  <c r="AH40" i="2"/>
  <c r="AH22" i="2" s="1"/>
  <c r="AH41" i="2"/>
  <c r="AJ40" i="2"/>
  <c r="AJ22" i="2" s="1"/>
  <c r="AJ41" i="2"/>
  <c r="AG44" i="2"/>
  <c r="K37" i="2"/>
  <c r="AH17" i="2" l="1"/>
  <c r="AH23" i="2"/>
  <c r="AJ17" i="2"/>
  <c r="AJ20" i="2" s="1"/>
  <c r="AJ23" i="2"/>
  <c r="AB45" i="21"/>
  <c r="AB48" i="21"/>
  <c r="AB46" i="21"/>
  <c r="AH19" i="2"/>
  <c r="AH20" i="2"/>
  <c r="AH42" i="2"/>
  <c r="AI40" i="2"/>
  <c r="AI22" i="2" s="1"/>
  <c r="AI41" i="2"/>
  <c r="AJ42" i="2"/>
  <c r="AJ44" i="2"/>
  <c r="AH44" i="2"/>
  <c r="K39" i="2"/>
  <c r="K43" i="2" s="1"/>
  <c r="AB49" i="21" l="1"/>
  <c r="AJ19" i="2"/>
  <c r="AI17" i="2"/>
  <c r="AI23" i="2"/>
  <c r="AB47" i="21"/>
  <c r="AB27" i="21"/>
  <c r="AB28" i="21" s="1"/>
  <c r="AI19" i="2"/>
  <c r="AI20" i="2"/>
  <c r="AI44" i="2"/>
  <c r="AI42" i="2"/>
  <c r="K40" i="2"/>
  <c r="K41" i="2"/>
  <c r="AB17" i="21" l="1"/>
  <c r="K44" i="2"/>
  <c r="K22" i="2"/>
  <c r="K23" i="2" s="1"/>
  <c r="K42" i="2"/>
  <c r="AB30" i="21" l="1"/>
  <c r="AB38" i="21"/>
  <c r="AC21" i="21" s="1"/>
  <c r="AB20" i="21"/>
  <c r="AB19" i="21"/>
  <c r="K17" i="2"/>
  <c r="K33" i="2" s="1"/>
  <c r="K19" i="2" l="1"/>
  <c r="AC22" i="21"/>
  <c r="AC25" i="21" s="1"/>
  <c r="AB40" i="21"/>
  <c r="K20" i="2"/>
  <c r="K25" i="2" s="1"/>
  <c r="AL19" i="2"/>
  <c r="L33" i="2"/>
  <c r="K35" i="2"/>
  <c r="AL20" i="2"/>
  <c r="K26" i="2"/>
  <c r="AL24" i="2"/>
  <c r="AC42" i="21" l="1"/>
  <c r="AC44" i="21" s="1"/>
  <c r="L35" i="2"/>
  <c r="M33" i="2"/>
  <c r="AL26" i="2"/>
  <c r="AC46" i="21" l="1"/>
  <c r="AC45" i="21"/>
  <c r="AC48" i="21"/>
  <c r="M35" i="2"/>
  <c r="N33" i="2"/>
  <c r="AC47" i="21" l="1"/>
  <c r="AC27" i="21"/>
  <c r="AC28" i="21" s="1"/>
  <c r="AC49" i="21"/>
  <c r="O33" i="2"/>
  <c r="N35" i="2"/>
  <c r="AC17" i="21" l="1"/>
  <c r="AC38" i="21" s="1"/>
  <c r="AD21" i="21" s="1"/>
  <c r="AC30" i="21"/>
  <c r="P33" i="2"/>
  <c r="O35" i="2"/>
  <c r="AC20" i="21" l="1"/>
  <c r="AC19" i="21"/>
  <c r="Q33" i="2"/>
  <c r="P35" i="2"/>
  <c r="AD22" i="21" l="1"/>
  <c r="AD25" i="21" s="1"/>
  <c r="AC40" i="21"/>
  <c r="Q35" i="2"/>
  <c r="R33" i="2"/>
  <c r="AD42" i="21" l="1"/>
  <c r="AD44" i="21" s="1"/>
  <c r="R35" i="2"/>
  <c r="S33" i="2"/>
  <c r="AD48" i="21" l="1"/>
  <c r="AD46" i="21"/>
  <c r="AD45" i="21"/>
  <c r="S35" i="2"/>
  <c r="T33" i="2"/>
  <c r="AD47" i="21" l="1"/>
  <c r="AD27" i="21"/>
  <c r="AD28" i="21" s="1"/>
  <c r="AD49" i="21"/>
  <c r="T35" i="2"/>
  <c r="U33" i="2"/>
  <c r="AD17" i="21" l="1"/>
  <c r="AD38" i="21" s="1"/>
  <c r="AE21" i="21" s="1"/>
  <c r="V33" i="2"/>
  <c r="U35" i="2"/>
  <c r="AD30" i="21" l="1"/>
  <c r="AD20" i="21"/>
  <c r="AD19" i="21"/>
  <c r="V35" i="2"/>
  <c r="W33" i="2"/>
  <c r="AE22" i="21" l="1"/>
  <c r="AE25" i="21" s="1"/>
  <c r="AD40" i="21"/>
  <c r="W35" i="2"/>
  <c r="X33" i="2"/>
  <c r="AE42" i="21" l="1"/>
  <c r="AE44" i="21" s="1"/>
  <c r="Y33" i="2"/>
  <c r="X35" i="2"/>
  <c r="AE45" i="21" l="1"/>
  <c r="AE48" i="21"/>
  <c r="AE46" i="21"/>
  <c r="Y35" i="2"/>
  <c r="Z33" i="2"/>
  <c r="AE49" i="21" l="1"/>
  <c r="AE47" i="21"/>
  <c r="AE27" i="21"/>
  <c r="AE28" i="21" s="1"/>
  <c r="AA33" i="2"/>
  <c r="Z35" i="2"/>
  <c r="AE17" i="21" l="1"/>
  <c r="AA35" i="2"/>
  <c r="AB33" i="2"/>
  <c r="AE30" i="21" l="1"/>
  <c r="AE38" i="21"/>
  <c r="AF21" i="21" s="1"/>
  <c r="AE20" i="21"/>
  <c r="AE19" i="21"/>
  <c r="AC33" i="2"/>
  <c r="AB35" i="2"/>
  <c r="AF22" i="21" l="1"/>
  <c r="AF25" i="21" s="1"/>
  <c r="AE40" i="21"/>
  <c r="AC35" i="2"/>
  <c r="AD33" i="2"/>
  <c r="AF42" i="21" l="1"/>
  <c r="AF44" i="21" s="1"/>
  <c r="AE33" i="2"/>
  <c r="AD35" i="2"/>
  <c r="AF46" i="21" l="1"/>
  <c r="AF48" i="21"/>
  <c r="AF45" i="21"/>
  <c r="AF33" i="2"/>
  <c r="AE35" i="2"/>
  <c r="AF47" i="21" l="1"/>
  <c r="AF27" i="21"/>
  <c r="AF28" i="21" s="1"/>
  <c r="AF49" i="21"/>
  <c r="AF35" i="2"/>
  <c r="AG33" i="2"/>
  <c r="AF17" i="21" l="1"/>
  <c r="AG35" i="2"/>
  <c r="AH33" i="2"/>
  <c r="AF30" i="21" l="1"/>
  <c r="AF38" i="21"/>
  <c r="AG21" i="21" s="1"/>
  <c r="AF19" i="21"/>
  <c r="AF20" i="21"/>
  <c r="AI33" i="2"/>
  <c r="AH35" i="2"/>
  <c r="AG22" i="21" l="1"/>
  <c r="AG25" i="21" s="1"/>
  <c r="AF40" i="21"/>
  <c r="AI35" i="2"/>
  <c r="AJ33" i="2"/>
  <c r="AJ35" i="2" s="1"/>
  <c r="AG42" i="21" l="1"/>
  <c r="AG44" i="21" s="1"/>
  <c r="H23" i="18"/>
  <c r="H22" i="18"/>
  <c r="AG46" i="21" l="1"/>
  <c r="AG45" i="21"/>
  <c r="AG48" i="21"/>
  <c r="K23" i="18"/>
  <c r="K22" i="18"/>
  <c r="L23" i="18"/>
  <c r="L22" i="18"/>
  <c r="J23" i="18"/>
  <c r="J22" i="18"/>
  <c r="AG49" i="21" l="1"/>
  <c r="AG27" i="21"/>
  <c r="AG28" i="21" s="1"/>
  <c r="AG47" i="21"/>
  <c r="G23" i="18"/>
  <c r="G22" i="18"/>
  <c r="I23" i="18"/>
  <c r="I22" i="18"/>
  <c r="M23" i="18"/>
  <c r="M22" i="18"/>
  <c r="AG17" i="21" l="1"/>
  <c r="F20" i="18"/>
  <c r="AG30" i="21" l="1"/>
  <c r="AG38" i="21"/>
  <c r="AH21" i="21" s="1"/>
  <c r="AG20" i="21"/>
  <c r="AG19" i="21"/>
  <c r="F13" i="18"/>
  <c r="AH22" i="21" l="1"/>
  <c r="AH25" i="21" s="1"/>
  <c r="AG40" i="21"/>
  <c r="K44" i="17"/>
  <c r="K48" i="17" s="1"/>
  <c r="F29" i="18"/>
  <c r="AH42" i="21" l="1"/>
  <c r="AH44" i="21" s="1"/>
  <c r="F34" i="18"/>
  <c r="AH46" i="21" l="1"/>
  <c r="AH45" i="21"/>
  <c r="AH48" i="21"/>
  <c r="F22" i="18"/>
  <c r="K31" i="17"/>
  <c r="AH49" i="21" l="1"/>
  <c r="AH47" i="21"/>
  <c r="AH27" i="21"/>
  <c r="AH28" i="21" s="1"/>
  <c r="F23" i="18"/>
  <c r="AH17" i="21" l="1"/>
  <c r="N22" i="18"/>
  <c r="AH30" i="21" l="1"/>
  <c r="AH38" i="21"/>
  <c r="AI21" i="21" s="1"/>
  <c r="AH19" i="21"/>
  <c r="AH20" i="21"/>
  <c r="N23" i="18"/>
  <c r="AI22" i="21" l="1"/>
  <c r="AI25" i="21" s="1"/>
  <c r="AH40" i="21"/>
  <c r="O22" i="18"/>
  <c r="AI42" i="21" l="1"/>
  <c r="AI44" i="21" s="1"/>
  <c r="O23" i="18"/>
  <c r="AI48" i="21" l="1"/>
  <c r="AI46" i="21"/>
  <c r="AI45" i="21"/>
  <c r="P22" i="18"/>
  <c r="AI47" i="21" l="1"/>
  <c r="AI27" i="21"/>
  <c r="AI28" i="21" s="1"/>
  <c r="AI49" i="21"/>
  <c r="P23" i="18"/>
  <c r="AI17" i="21" l="1"/>
  <c r="AI38" i="21" s="1"/>
  <c r="AJ21" i="21" s="1"/>
  <c r="Q22" i="18"/>
  <c r="AI30" i="21" l="1"/>
  <c r="AI20" i="21"/>
  <c r="AI19" i="21"/>
  <c r="R23" i="18"/>
  <c r="R22" i="18"/>
  <c r="Q23" i="18"/>
  <c r="AJ22" i="21" l="1"/>
  <c r="AJ25" i="21" s="1"/>
  <c r="AI40" i="21"/>
  <c r="S23" i="18"/>
  <c r="S22" i="18"/>
  <c r="AJ42" i="21" l="1"/>
  <c r="AJ44" i="21" s="1"/>
  <c r="W20" i="18"/>
  <c r="AJ48" i="21" l="1"/>
  <c r="AJ46" i="21"/>
  <c r="AJ45" i="21"/>
  <c r="T23" i="18"/>
  <c r="T22" i="18"/>
  <c r="AJ47" i="21" l="1"/>
  <c r="AJ27" i="21"/>
  <c r="AJ28" i="21" s="1"/>
  <c r="AJ49" i="21"/>
  <c r="U22" i="18"/>
  <c r="U23" i="18"/>
  <c r="X20" i="18"/>
  <c r="AJ17" i="21" l="1"/>
  <c r="Y20" i="18"/>
  <c r="AJ30" i="21" l="1"/>
  <c r="AJ38" i="21"/>
  <c r="AJ40" i="21" s="1"/>
  <c r="AJ20" i="21"/>
  <c r="AL20" i="21" s="1"/>
  <c r="AJ19" i="21"/>
  <c r="AL19" i="21" s="1"/>
  <c r="V22" i="18"/>
  <c r="V23" i="18"/>
  <c r="Z20" i="18" l="1"/>
  <c r="W23" i="18"/>
  <c r="W22" i="18"/>
  <c r="AA20" i="18" l="1"/>
  <c r="X23" i="18" l="1"/>
  <c r="X22" i="18"/>
  <c r="AB20" i="18"/>
  <c r="Y23" i="18" l="1"/>
  <c r="Y22" i="18"/>
  <c r="AC20" i="18" l="1"/>
  <c r="AD20" i="18" l="1"/>
  <c r="Z22" i="18"/>
  <c r="Z23" i="18"/>
  <c r="AA23" i="18" l="1"/>
  <c r="AA22" i="18"/>
  <c r="AB23" i="18" l="1"/>
  <c r="AB22" i="18"/>
  <c r="AL29" i="17" l="1"/>
  <c r="AC22" i="18" l="1"/>
  <c r="AC23" i="18"/>
  <c r="AD23" i="18" l="1"/>
  <c r="AD22" i="18"/>
  <c r="AL31" i="17"/>
  <c r="F36" i="18"/>
  <c r="F40" i="18"/>
  <c r="K46" i="17"/>
  <c r="F38" i="18" s="1"/>
  <c r="K45" i="17"/>
  <c r="K47" i="17" s="1"/>
  <c r="F39" i="18" s="1"/>
  <c r="K27" i="17" l="1"/>
  <c r="K28" i="17" s="1"/>
  <c r="K17" i="17" s="1"/>
  <c r="K38" i="17" s="1"/>
  <c r="K49" i="17"/>
  <c r="F41" i="18" s="1"/>
  <c r="F37" i="18"/>
  <c r="L21" i="17" l="1"/>
  <c r="K40" i="17"/>
  <c r="F21" i="18"/>
  <c r="L22" i="17" l="1"/>
  <c r="L23" i="17"/>
  <c r="F15" i="18"/>
  <c r="K20" i="17"/>
  <c r="K30" i="17" s="1"/>
  <c r="K19" i="17"/>
  <c r="F30" i="18"/>
  <c r="F32" i="18"/>
  <c r="L24" i="17" l="1"/>
  <c r="L26" i="17" s="1"/>
  <c r="G20" i="18"/>
  <c r="K33" i="17"/>
  <c r="F19" i="18"/>
  <c r="F18" i="18"/>
  <c r="L25" i="17" l="1"/>
  <c r="L42" i="17" s="1"/>
  <c r="L44" i="17" s="1"/>
  <c r="L15" i="17"/>
  <c r="L35" i="17"/>
  <c r="G34" i="18" l="1"/>
  <c r="G27" i="18"/>
  <c r="G13" i="18"/>
  <c r="L37" i="17"/>
  <c r="G29" i="18" s="1"/>
  <c r="L48" i="17"/>
  <c r="L45" i="17"/>
  <c r="L46" i="17"/>
  <c r="G38" i="18" s="1"/>
  <c r="G36" i="18"/>
  <c r="L27" i="17" l="1"/>
  <c r="G37" i="18"/>
  <c r="L47" i="17"/>
  <c r="G39" i="18" s="1"/>
  <c r="G40" i="18"/>
  <c r="L49" i="17"/>
  <c r="G41" i="18" s="1"/>
  <c r="L28" i="17" l="1"/>
  <c r="L17" i="17" s="1"/>
  <c r="L38" i="17" s="1"/>
  <c r="G21" i="18"/>
  <c r="L20" i="17" l="1"/>
  <c r="G15" i="18"/>
  <c r="M21" i="17"/>
  <c r="L19" i="17"/>
  <c r="G18" i="18" s="1"/>
  <c r="G30" i="18" l="1"/>
  <c r="L40" i="17"/>
  <c r="G32" i="18" s="1"/>
  <c r="G19" i="18"/>
  <c r="L30" i="17"/>
  <c r="L33" i="17"/>
  <c r="M22" i="17" l="1"/>
  <c r="M23" i="17"/>
  <c r="M13" i="18"/>
  <c r="M24" i="17" l="1"/>
  <c r="M26" i="17" s="1"/>
  <c r="H20" i="18"/>
  <c r="M25" i="17" l="1"/>
  <c r="M42" i="17" s="1"/>
  <c r="H34" i="18" s="1"/>
  <c r="M15" i="17"/>
  <c r="M35" i="17"/>
  <c r="H27" i="18" s="1"/>
  <c r="M44" i="17" l="1"/>
  <c r="H13" i="18"/>
  <c r="M37" i="17"/>
  <c r="M48" i="17"/>
  <c r="M45" i="17"/>
  <c r="M46" i="17"/>
  <c r="H38" i="18" s="1"/>
  <c r="H36" i="18"/>
  <c r="M47" i="17" l="1"/>
  <c r="H39" i="18" s="1"/>
  <c r="M27" i="17"/>
  <c r="H37" i="18"/>
  <c r="H40" i="18"/>
  <c r="M49" i="17"/>
  <c r="H41" i="18" s="1"/>
  <c r="H29" i="18"/>
  <c r="M28" i="17" l="1"/>
  <c r="M17" i="17" s="1"/>
  <c r="M38" i="17" s="1"/>
  <c r="H21" i="18"/>
  <c r="M20" i="17" l="1"/>
  <c r="H15" i="18"/>
  <c r="N21" i="17"/>
  <c r="M19" i="17"/>
  <c r="H18" i="18" s="1"/>
  <c r="H30" i="18" l="1"/>
  <c r="M40" i="17"/>
  <c r="H32" i="18" s="1"/>
  <c r="M30" i="17"/>
  <c r="M33" i="17" s="1"/>
  <c r="H19" i="18"/>
  <c r="N23" i="17" l="1"/>
  <c r="N22" i="17"/>
  <c r="I20" i="18" l="1"/>
  <c r="N24" i="17"/>
  <c r="N26" i="17" l="1"/>
  <c r="N15" i="17"/>
  <c r="N35" i="17"/>
  <c r="I27" i="18" s="1"/>
  <c r="N25" i="17"/>
  <c r="N42" i="17" s="1"/>
  <c r="N37" i="17" l="1"/>
  <c r="I29" i="18" s="1"/>
  <c r="I13" i="18"/>
  <c r="I34" i="18"/>
  <c r="N44" i="17"/>
  <c r="N48" i="17" l="1"/>
  <c r="N45" i="17"/>
  <c r="N46" i="17"/>
  <c r="I38" i="18" s="1"/>
  <c r="I36" i="18"/>
  <c r="N47" i="17" l="1"/>
  <c r="I39" i="18" s="1"/>
  <c r="I37" i="18"/>
  <c r="N27" i="17"/>
  <c r="I40" i="18"/>
  <c r="N49" i="17"/>
  <c r="I41" i="18" s="1"/>
  <c r="N28" i="17" l="1"/>
  <c r="N17" i="17" s="1"/>
  <c r="N38" i="17" s="1"/>
  <c r="I21" i="18"/>
  <c r="N20" i="17" l="1"/>
  <c r="N19" i="17"/>
  <c r="I18" i="18" s="1"/>
  <c r="I15" i="18"/>
  <c r="O21" i="17"/>
  <c r="N40" i="17" l="1"/>
  <c r="I32" i="18" s="1"/>
  <c r="I30" i="18"/>
  <c r="N30" i="17"/>
  <c r="N33" i="17" s="1"/>
  <c r="I19" i="18"/>
  <c r="O22" i="17" l="1"/>
  <c r="O23" i="17"/>
  <c r="O24" i="17" l="1"/>
  <c r="O25" i="17" s="1"/>
  <c r="O42" i="17" s="1"/>
  <c r="J20" i="18"/>
  <c r="O26" i="17" l="1"/>
  <c r="O35" i="17"/>
  <c r="J27" i="18" s="1"/>
  <c r="O15" i="17"/>
  <c r="J13" i="18" l="1"/>
  <c r="O37" i="17"/>
  <c r="J29" i="18" s="1"/>
  <c r="O44" i="17"/>
  <c r="J34" i="18"/>
  <c r="O48" i="17" l="1"/>
  <c r="J36" i="18"/>
  <c r="O45" i="17"/>
  <c r="O46" i="17"/>
  <c r="J38" i="18" s="1"/>
  <c r="O47" i="17" l="1"/>
  <c r="J39" i="18" s="1"/>
  <c r="J37" i="18"/>
  <c r="O27" i="17"/>
  <c r="J40" i="18"/>
  <c r="O49" i="17"/>
  <c r="J41" i="18" s="1"/>
  <c r="O28" i="17" l="1"/>
  <c r="O17" i="17" s="1"/>
  <c r="O38" i="17" s="1"/>
  <c r="J21" i="18"/>
  <c r="O20" i="17" l="1"/>
  <c r="O19" i="17"/>
  <c r="J18" i="18" s="1"/>
  <c r="J15" i="18"/>
  <c r="P21" i="17"/>
  <c r="J30" i="18" l="1"/>
  <c r="O40" i="17"/>
  <c r="J32" i="18" s="1"/>
  <c r="O30" i="17"/>
  <c r="O33" i="17" s="1"/>
  <c r="J19" i="18"/>
  <c r="P23" i="17" l="1"/>
  <c r="P22" i="17"/>
  <c r="K20" i="18" l="1"/>
  <c r="P24" i="17"/>
  <c r="P26" i="17" l="1"/>
  <c r="P15" i="17"/>
  <c r="P35" i="17"/>
  <c r="K27" i="18" s="1"/>
  <c r="P25" i="17"/>
  <c r="P42" i="17" s="1"/>
  <c r="P37" i="17" l="1"/>
  <c r="K13" i="18"/>
  <c r="P44" i="17"/>
  <c r="K34" i="18"/>
  <c r="P46" i="17" l="1"/>
  <c r="K38" i="18" s="1"/>
  <c r="P48" i="17"/>
  <c r="P45" i="17"/>
  <c r="K36" i="18"/>
  <c r="K29" i="18"/>
  <c r="P27" i="17" l="1"/>
  <c r="P47" i="17"/>
  <c r="K39" i="18" s="1"/>
  <c r="K37" i="18"/>
  <c r="P49" i="17"/>
  <c r="K41" i="18" s="1"/>
  <c r="K40" i="18"/>
  <c r="P28" i="17" l="1"/>
  <c r="P17" i="17" s="1"/>
  <c r="P38" i="17" s="1"/>
  <c r="K21" i="18"/>
  <c r="P20" i="17" l="1"/>
  <c r="P19" i="17"/>
  <c r="K18" i="18" s="1"/>
  <c r="K15" i="18"/>
  <c r="Q21" i="17"/>
  <c r="K30" i="18" l="1"/>
  <c r="P40" i="17"/>
  <c r="K32" i="18" s="1"/>
  <c r="P30" i="17"/>
  <c r="P33" i="17" s="1"/>
  <c r="K19" i="18"/>
  <c r="Q23" i="17" l="1"/>
  <c r="Q22" i="17"/>
  <c r="Q24" i="17" l="1"/>
  <c r="L20" i="18"/>
  <c r="Q35" i="17" l="1"/>
  <c r="L27" i="18" s="1"/>
  <c r="Q15" i="17"/>
  <c r="Q26" i="17"/>
  <c r="Q25" i="17"/>
  <c r="Q42" i="17" s="1"/>
  <c r="L13" i="18" l="1"/>
  <c r="Q37" i="17"/>
  <c r="Q44" i="17"/>
  <c r="L34" i="18"/>
  <c r="L36" i="18"/>
  <c r="Q48" i="17"/>
  <c r="Q45" i="17"/>
  <c r="Q46" i="17"/>
  <c r="L38" i="18" s="1"/>
  <c r="L29" i="18" l="1"/>
  <c r="R37" i="17"/>
  <c r="L37" i="18"/>
  <c r="Q47" i="17"/>
  <c r="L39" i="18" s="1"/>
  <c r="Q27" i="17"/>
  <c r="Q49" i="17"/>
  <c r="L41" i="18" s="1"/>
  <c r="L40" i="18"/>
  <c r="S15" i="17" l="1"/>
  <c r="N13" i="18" s="1"/>
  <c r="M29" i="18"/>
  <c r="Q28" i="17"/>
  <c r="Q17" i="17" s="1"/>
  <c r="Q38" i="17" s="1"/>
  <c r="L21" i="18"/>
  <c r="S37" i="17" l="1"/>
  <c r="N29" i="18"/>
  <c r="T15" i="17"/>
  <c r="O13" i="18" s="1"/>
  <c r="Q20" i="17"/>
  <c r="L15" i="18"/>
  <c r="Q19" i="17"/>
  <c r="L18" i="18" s="1"/>
  <c r="R21" i="17"/>
  <c r="T37" i="17" l="1"/>
  <c r="O29" i="18"/>
  <c r="U15" i="17"/>
  <c r="P13" i="18" s="1"/>
  <c r="Q30" i="17"/>
  <c r="Q33" i="17" s="1"/>
  <c r="L19" i="18"/>
  <c r="Q40" i="17"/>
  <c r="L32" i="18" s="1"/>
  <c r="L30" i="18"/>
  <c r="R35" i="17"/>
  <c r="U37" i="17" l="1"/>
  <c r="V15" i="17"/>
  <c r="Q13" i="18" s="1"/>
  <c r="P29" i="18"/>
  <c r="R22" i="17"/>
  <c r="R25" i="17" s="1"/>
  <c r="R42" i="17" s="1"/>
  <c r="R23" i="17"/>
  <c r="M20" i="18" s="1"/>
  <c r="S35" i="17"/>
  <c r="M27" i="18"/>
  <c r="V37" i="17" l="1"/>
  <c r="R26" i="17"/>
  <c r="M34" i="18" s="1"/>
  <c r="T35" i="17"/>
  <c r="N27" i="18"/>
  <c r="R44" i="17"/>
  <c r="Q29" i="18" l="1"/>
  <c r="W15" i="17"/>
  <c r="R48" i="17"/>
  <c r="M40" i="18" s="1"/>
  <c r="M36" i="18"/>
  <c r="R46" i="17"/>
  <c r="M38" i="18" s="1"/>
  <c r="R45" i="17"/>
  <c r="O27" i="18"/>
  <c r="U35" i="17"/>
  <c r="W37" i="17" l="1"/>
  <c r="R13" i="18"/>
  <c r="R49" i="17"/>
  <c r="M41" i="18" s="1"/>
  <c r="R27" i="17"/>
  <c r="R28" i="17" s="1"/>
  <c r="R17" i="17" s="1"/>
  <c r="R38" i="17" s="1"/>
  <c r="R47" i="17"/>
  <c r="M39" i="18" s="1"/>
  <c r="M37" i="18"/>
  <c r="V35" i="17"/>
  <c r="P27" i="18"/>
  <c r="R29" i="18" l="1"/>
  <c r="X15" i="17"/>
  <c r="S13" i="18" s="1"/>
  <c r="W35" i="17"/>
  <c r="Q27" i="18"/>
  <c r="M21" i="18"/>
  <c r="X37" i="17" l="1"/>
  <c r="Y15" i="17"/>
  <c r="T13" i="18" s="1"/>
  <c r="S29" i="18"/>
  <c r="R27" i="18"/>
  <c r="X35" i="17"/>
  <c r="Y37" i="17" l="1"/>
  <c r="T29" i="18"/>
  <c r="Z15" i="17"/>
  <c r="U13" i="18" s="1"/>
  <c r="S27" i="18"/>
  <c r="Y35" i="17"/>
  <c r="R20" i="17"/>
  <c r="R30" i="17" s="1"/>
  <c r="M15" i="18"/>
  <c r="R19" i="17"/>
  <c r="M18" i="18" s="1"/>
  <c r="S21" i="17"/>
  <c r="Z37" i="17" l="1"/>
  <c r="AA15" i="17" s="1"/>
  <c r="V13" i="18" s="1"/>
  <c r="S22" i="17"/>
  <c r="S25" i="17" s="1"/>
  <c r="S42" i="17" s="1"/>
  <c r="M30" i="18"/>
  <c r="R40" i="17"/>
  <c r="M32" i="18" s="1"/>
  <c r="Z35" i="17"/>
  <c r="T27" i="18"/>
  <c r="M19" i="18"/>
  <c r="R33" i="17"/>
  <c r="U29" i="18" l="1"/>
  <c r="AA37" i="17"/>
  <c r="V29" i="18"/>
  <c r="AB15" i="17"/>
  <c r="S23" i="17"/>
  <c r="U27" i="18"/>
  <c r="AA35" i="17"/>
  <c r="AB37" i="17" l="1"/>
  <c r="W13" i="18"/>
  <c r="AB35" i="17"/>
  <c r="V27" i="18"/>
  <c r="S26" i="17"/>
  <c r="N20" i="18"/>
  <c r="W29" i="18" l="1"/>
  <c r="AC15" i="17"/>
  <c r="X13" i="18" s="1"/>
  <c r="AC35" i="17"/>
  <c r="W27" i="18"/>
  <c r="AC37" i="17" l="1"/>
  <c r="AD15" i="17"/>
  <c r="Y13" i="18" s="1"/>
  <c r="X29" i="18"/>
  <c r="AD35" i="17"/>
  <c r="X27" i="18"/>
  <c r="N34" i="18"/>
  <c r="S44" i="17"/>
  <c r="AD37" i="17" l="1"/>
  <c r="Y29" i="18" s="1"/>
  <c r="N36" i="18"/>
  <c r="S46" i="17"/>
  <c r="N38" i="18" s="1"/>
  <c r="S48" i="17"/>
  <c r="S45" i="17"/>
  <c r="AE35" i="17"/>
  <c r="Y27" i="18"/>
  <c r="AE15" i="17" l="1"/>
  <c r="S47" i="17"/>
  <c r="N39" i="18" s="1"/>
  <c r="N37" i="18"/>
  <c r="S27" i="17"/>
  <c r="S28" i="17" s="1"/>
  <c r="S17" i="17" s="1"/>
  <c r="S38" i="17" s="1"/>
  <c r="AF35" i="17"/>
  <c r="Z27" i="18"/>
  <c r="S49" i="17"/>
  <c r="N41" i="18" s="1"/>
  <c r="N40" i="18"/>
  <c r="Z13" i="18" l="1"/>
  <c r="AE37" i="17"/>
  <c r="S30" i="17"/>
  <c r="AG35" i="17"/>
  <c r="AA27" i="18"/>
  <c r="N21" i="18"/>
  <c r="Z29" i="18" l="1"/>
  <c r="AF15" i="17"/>
  <c r="AH35" i="17"/>
  <c r="AB27" i="18"/>
  <c r="AA13" i="18" l="1"/>
  <c r="AF37" i="17"/>
  <c r="AC27" i="18"/>
  <c r="AI35" i="17"/>
  <c r="AA29" i="18" l="1"/>
  <c r="AG15" i="17"/>
  <c r="AB13" i="18" s="1"/>
  <c r="AD27" i="18"/>
  <c r="AJ35" i="17"/>
  <c r="S19" i="17"/>
  <c r="N18" i="18" s="1"/>
  <c r="T21" i="17"/>
  <c r="S20" i="17"/>
  <c r="AG37" i="17" l="1"/>
  <c r="N30" i="18"/>
  <c r="S33" i="17"/>
  <c r="N19" i="18"/>
  <c r="N15" i="18"/>
  <c r="S40" i="17"/>
  <c r="N32" i="18" s="1"/>
  <c r="AB29" i="18" l="1"/>
  <c r="AH15" i="17"/>
  <c r="AC13" i="18" s="1"/>
  <c r="T22" i="17"/>
  <c r="T25" i="17" s="1"/>
  <c r="T42" i="17" s="1"/>
  <c r="T23" i="17"/>
  <c r="AH37" i="17" l="1"/>
  <c r="O20" i="18"/>
  <c r="T26" i="17"/>
  <c r="AC29" i="18" l="1"/>
  <c r="AI15" i="17"/>
  <c r="AD13" i="18" s="1"/>
  <c r="T44" i="17"/>
  <c r="O34" i="18"/>
  <c r="AI37" i="17" l="1"/>
  <c r="T45" i="17"/>
  <c r="O36" i="18"/>
  <c r="T48" i="17"/>
  <c r="T46" i="17"/>
  <c r="O38" i="18" s="1"/>
  <c r="AJ15" i="17" l="1"/>
  <c r="AJ37" i="17" s="1"/>
  <c r="AD29" i="18"/>
  <c r="O40" i="18"/>
  <c r="T49" i="17"/>
  <c r="O41" i="18" s="1"/>
  <c r="O37" i="18"/>
  <c r="T27" i="17"/>
  <c r="T28" i="17" s="1"/>
  <c r="T17" i="17" s="1"/>
  <c r="T38" i="17" s="1"/>
  <c r="T47" i="17"/>
  <c r="O39" i="18" s="1"/>
  <c r="T30" i="17" l="1"/>
  <c r="O21" i="18"/>
  <c r="T20" i="17" l="1"/>
  <c r="O15" i="18"/>
  <c r="T19" i="17"/>
  <c r="U21" i="17"/>
  <c r="O18" i="18" l="1"/>
  <c r="O30" i="18"/>
  <c r="T40" i="17"/>
  <c r="O32" i="18" s="1"/>
  <c r="T33" i="17"/>
  <c r="O19" i="18"/>
  <c r="U23" i="17" l="1"/>
  <c r="U22" i="17"/>
  <c r="U25" i="17" s="1"/>
  <c r="U42" i="17" s="1"/>
  <c r="P20" i="18" l="1"/>
  <c r="U26" i="17"/>
  <c r="P34" i="18" l="1"/>
  <c r="U44" i="17"/>
  <c r="U48" i="17" l="1"/>
  <c r="P36" i="18"/>
  <c r="U46" i="17"/>
  <c r="P38" i="18" s="1"/>
  <c r="U45" i="17"/>
  <c r="U27" i="17" l="1"/>
  <c r="U28" i="17" s="1"/>
  <c r="U17" i="17" s="1"/>
  <c r="U38" i="17" s="1"/>
  <c r="U47" i="17"/>
  <c r="P39" i="18" s="1"/>
  <c r="P37" i="18"/>
  <c r="U49" i="17"/>
  <c r="P41" i="18" s="1"/>
  <c r="P40" i="18"/>
  <c r="U30" i="17" l="1"/>
  <c r="P21" i="18"/>
  <c r="U20" i="17" l="1"/>
  <c r="P15" i="18"/>
  <c r="U19" i="17"/>
  <c r="V21" i="17"/>
  <c r="U40" i="17" l="1"/>
  <c r="P32" i="18" s="1"/>
  <c r="P30" i="18"/>
  <c r="P18" i="18"/>
  <c r="U33" i="17"/>
  <c r="V33" i="17" s="1"/>
  <c r="W33" i="17" s="1"/>
  <c r="X33" i="17" s="1"/>
  <c r="Y33" i="17" s="1"/>
  <c r="Z33" i="17" s="1"/>
  <c r="AA33" i="17" s="1"/>
  <c r="AB33" i="17" s="1"/>
  <c r="AC33" i="17" s="1"/>
  <c r="AD33" i="17" s="1"/>
  <c r="AE33" i="17" s="1"/>
  <c r="AF33" i="17" s="1"/>
  <c r="AG33" i="17" s="1"/>
  <c r="AH33" i="17" s="1"/>
  <c r="AI33" i="17" s="1"/>
  <c r="AJ33" i="17" s="1"/>
  <c r="P19" i="18"/>
  <c r="V23" i="17" l="1"/>
  <c r="V22" i="17"/>
  <c r="V25" i="17" s="1"/>
  <c r="V42" i="17" s="1"/>
  <c r="Q20" i="18" l="1"/>
  <c r="V26" i="17"/>
  <c r="V44" i="17" l="1"/>
  <c r="Q34" i="18"/>
  <c r="V45" i="17" l="1"/>
  <c r="V46" i="17"/>
  <c r="Q38" i="18" s="1"/>
  <c r="Q36" i="18"/>
  <c r="V48" i="17"/>
  <c r="Q40" i="18" l="1"/>
  <c r="V49" i="17"/>
  <c r="Q41" i="18" s="1"/>
  <c r="V27" i="17"/>
  <c r="V28" i="17" s="1"/>
  <c r="V17" i="17" s="1"/>
  <c r="V38" i="17" s="1"/>
  <c r="Q37" i="18"/>
  <c r="V47" i="17"/>
  <c r="Q39" i="18" s="1"/>
  <c r="Q21" i="18" l="1"/>
  <c r="V30" i="17"/>
  <c r="V19" i="17" l="1"/>
  <c r="V20" i="17"/>
  <c r="Q15" i="18"/>
  <c r="W21" i="17"/>
  <c r="V40" i="17" l="1"/>
  <c r="Q32" i="18" s="1"/>
  <c r="Q30" i="18"/>
  <c r="Q19" i="18"/>
  <c r="Q18" i="18"/>
  <c r="W22" i="17" l="1"/>
  <c r="W25" i="17" s="1"/>
  <c r="W42" i="17" s="1"/>
  <c r="W23" i="17"/>
  <c r="R20" i="18" l="1"/>
  <c r="W26" i="17"/>
  <c r="W44" i="17" l="1"/>
  <c r="R34" i="18"/>
  <c r="W48" i="17" l="1"/>
  <c r="R36" i="18"/>
  <c r="W46" i="17"/>
  <c r="R38" i="18" s="1"/>
  <c r="W45" i="17"/>
  <c r="W27" i="17" l="1"/>
  <c r="W28" i="17" s="1"/>
  <c r="W17" i="17" s="1"/>
  <c r="W38" i="17" s="1"/>
  <c r="W47" i="17"/>
  <c r="R39" i="18" s="1"/>
  <c r="R37" i="18"/>
  <c r="R40" i="18"/>
  <c r="W49" i="17"/>
  <c r="R41" i="18" s="1"/>
  <c r="R21" i="18" l="1"/>
  <c r="W19" i="17"/>
  <c r="R18" i="18" s="1"/>
  <c r="W20" i="17"/>
  <c r="R19" i="18" s="1"/>
  <c r="R15" i="18"/>
  <c r="W30" i="17"/>
  <c r="X21" i="17"/>
  <c r="X23" i="17" l="1"/>
  <c r="R30" i="18"/>
  <c r="W40" i="17"/>
  <c r="R32" i="18" s="1"/>
  <c r="X22" i="17"/>
  <c r="X25" i="17" s="1"/>
  <c r="X42" i="17" s="1"/>
  <c r="S34" i="18" l="1"/>
  <c r="S20" i="18"/>
  <c r="X26" i="17"/>
  <c r="X44" i="17" l="1"/>
  <c r="X46" i="17" s="1"/>
  <c r="S38" i="18" s="1"/>
  <c r="X45" i="17"/>
  <c r="S36" i="18"/>
  <c r="X48" i="17"/>
  <c r="S40" i="18" l="1"/>
  <c r="X49" i="17"/>
  <c r="S41" i="18" s="1"/>
  <c r="S37" i="18"/>
  <c r="X47" i="17"/>
  <c r="S39" i="18" s="1"/>
  <c r="X27" i="17"/>
  <c r="S21" i="18" l="1"/>
  <c r="X28" i="17"/>
  <c r="X17" i="17" s="1"/>
  <c r="X38" i="17" s="1"/>
  <c r="X30" i="17" l="1"/>
  <c r="S15" i="18"/>
  <c r="Y21" i="17"/>
  <c r="X19" i="17"/>
  <c r="X20" i="17" l="1"/>
  <c r="S18" i="18"/>
  <c r="S30" i="18"/>
  <c r="X40" i="17"/>
  <c r="S32" i="18" s="1"/>
  <c r="S19" i="18"/>
  <c r="Y22" i="17" l="1"/>
  <c r="Y25" i="17" s="1"/>
  <c r="Y42" i="17" s="1"/>
  <c r="Y23" i="17"/>
  <c r="T20" i="18" l="1"/>
  <c r="Y26" i="17"/>
  <c r="Y44" i="17" l="1"/>
  <c r="T34" i="18"/>
  <c r="Y45" i="17" l="1"/>
  <c r="T36" i="18"/>
  <c r="Y48" i="17"/>
  <c r="Y46" i="17"/>
  <c r="T38" i="18" s="1"/>
  <c r="T40" i="18" l="1"/>
  <c r="Y49" i="17"/>
  <c r="T41" i="18" s="1"/>
  <c r="T37" i="18"/>
  <c r="Y27" i="17"/>
  <c r="Y47" i="17"/>
  <c r="T39" i="18" s="1"/>
  <c r="T21" i="18" l="1"/>
  <c r="Y28" i="17"/>
  <c r="Y17" i="17" s="1"/>
  <c r="Y38" i="17" s="1"/>
  <c r="Y18" i="17" l="1"/>
  <c r="Y30" i="17"/>
  <c r="T15" i="18"/>
  <c r="Y20" i="17"/>
  <c r="Y19" i="17"/>
  <c r="Z21" i="17"/>
  <c r="Y40" i="17" l="1"/>
  <c r="T32" i="18" s="1"/>
  <c r="T30" i="18"/>
  <c r="T19" i="18"/>
  <c r="T18" i="18"/>
  <c r="Z22" i="17" l="1"/>
  <c r="Z25" i="17" s="1"/>
  <c r="Z42" i="17" s="1"/>
  <c r="Z23" i="17"/>
  <c r="Z26" i="17" l="1"/>
  <c r="U20" i="18"/>
  <c r="U34" i="18" l="1"/>
  <c r="Z44" i="17"/>
  <c r="U36" i="18" l="1"/>
  <c r="Z45" i="17"/>
  <c r="Z46" i="17"/>
  <c r="U38" i="18" s="1"/>
  <c r="Z48" i="17"/>
  <c r="Z27" i="17" l="1"/>
  <c r="U37" i="18"/>
  <c r="Z47" i="17"/>
  <c r="U39" i="18" s="1"/>
  <c r="U40" i="18"/>
  <c r="Z49" i="17"/>
  <c r="U41" i="18" s="1"/>
  <c r="U21" i="18" l="1"/>
  <c r="Z28" i="17"/>
  <c r="Z17" i="17" s="1"/>
  <c r="Z38" i="17" s="1"/>
  <c r="Z30" i="17" l="1"/>
  <c r="Z18" i="17"/>
  <c r="Z20" i="17"/>
  <c r="Z19" i="17"/>
  <c r="U15" i="18"/>
  <c r="AA21" i="17"/>
  <c r="Z40" i="17" l="1"/>
  <c r="U32" i="18" s="1"/>
  <c r="U30" i="18"/>
  <c r="U18" i="18"/>
  <c r="U19" i="18"/>
  <c r="AA23" i="17" l="1"/>
  <c r="AA22" i="17"/>
  <c r="AA25" i="17" s="1"/>
  <c r="AA42" i="17" s="1"/>
  <c r="V20" i="18" l="1"/>
  <c r="AA26" i="17"/>
  <c r="AL23" i="17"/>
  <c r="AL26" i="17" l="1"/>
  <c r="AA44" i="17"/>
  <c r="V34" i="18"/>
  <c r="AA45" i="17" l="1"/>
  <c r="AA46" i="17"/>
  <c r="V38" i="18" s="1"/>
  <c r="AA48" i="17"/>
  <c r="V36" i="18"/>
  <c r="AA49" i="17" l="1"/>
  <c r="V41" i="18" s="1"/>
  <c r="V40" i="18"/>
  <c r="V37" i="18"/>
  <c r="AA27" i="17"/>
  <c r="AA47" i="17"/>
  <c r="V39" i="18" s="1"/>
  <c r="V21" i="18" l="1"/>
  <c r="AA28" i="17"/>
  <c r="AA17" i="17" l="1"/>
  <c r="AA18" i="17"/>
  <c r="AA30" i="17" l="1"/>
  <c r="AA38" i="17"/>
  <c r="AB21" i="17" s="1"/>
  <c r="V15" i="18"/>
  <c r="AA19" i="17"/>
  <c r="V18" i="18" s="1"/>
  <c r="AA20" i="17"/>
  <c r="V19" i="18" s="1"/>
  <c r="V30" i="18" l="1"/>
  <c r="AA40" i="17"/>
  <c r="V32" i="18" s="1"/>
  <c r="AB22" i="17"/>
  <c r="AB25" i="17" s="1"/>
  <c r="AB42" i="17" l="1"/>
  <c r="AB44" i="17" l="1"/>
  <c r="W34" i="18"/>
  <c r="AB48" i="17" l="1"/>
  <c r="W36" i="18"/>
  <c r="AB45" i="17"/>
  <c r="AB46" i="17"/>
  <c r="W38" i="18" s="1"/>
  <c r="AB27" i="17" l="1"/>
  <c r="AB47" i="17"/>
  <c r="W39" i="18" s="1"/>
  <c r="W37" i="18"/>
  <c r="W40" i="18"/>
  <c r="AB49" i="17"/>
  <c r="W41" i="18" s="1"/>
  <c r="W21" i="18" l="1"/>
  <c r="AB28" i="17"/>
  <c r="AB17" i="17" l="1"/>
  <c r="AB30" i="17" s="1"/>
  <c r="AB19" i="17" l="1"/>
  <c r="W18" i="18" s="1"/>
  <c r="AB20" i="17"/>
  <c r="W19" i="18" s="1"/>
  <c r="AB38" i="17"/>
  <c r="W15" i="18"/>
  <c r="AC21" i="17" l="1"/>
  <c r="AC22" i="17" s="1"/>
  <c r="AC25" i="17" s="1"/>
  <c r="AB40" i="17"/>
  <c r="W32" i="18" s="1"/>
  <c r="W30" i="18"/>
  <c r="AC42" i="17" l="1"/>
  <c r="AC44" i="17" l="1"/>
  <c r="X34" i="18"/>
  <c r="AC48" i="17" l="1"/>
  <c r="AC46" i="17"/>
  <c r="X38" i="18" s="1"/>
  <c r="AC45" i="17"/>
  <c r="X36" i="18"/>
  <c r="AC27" i="17" l="1"/>
  <c r="X37" i="18"/>
  <c r="AC47" i="17"/>
  <c r="X39" i="18" s="1"/>
  <c r="AC49" i="17"/>
  <c r="X41" i="18" s="1"/>
  <c r="X40" i="18"/>
  <c r="X21" i="18" l="1"/>
  <c r="AC28" i="17"/>
  <c r="AC17" i="17" l="1"/>
  <c r="AC30" i="17" s="1"/>
  <c r="AC20" i="17" l="1"/>
  <c r="X19" i="18" s="1"/>
  <c r="AC19" i="17"/>
  <c r="X18" i="18" s="1"/>
  <c r="X15" i="18"/>
  <c r="AC38" i="17"/>
  <c r="AD21" i="17" l="1"/>
  <c r="AD22" i="17" s="1"/>
  <c r="AD25" i="17" s="1"/>
  <c r="AC40" i="17"/>
  <c r="X32" i="18" s="1"/>
  <c r="X30" i="18"/>
  <c r="AD42" i="17" l="1"/>
  <c r="AD44" i="17" l="1"/>
  <c r="Y34" i="18"/>
  <c r="AD48" i="17" l="1"/>
  <c r="AD45" i="17"/>
  <c r="AD46" i="17"/>
  <c r="Y38" i="18" s="1"/>
  <c r="Y36" i="18"/>
  <c r="AD27" i="17" l="1"/>
  <c r="AD47" i="17"/>
  <c r="Y39" i="18" s="1"/>
  <c r="Y37" i="18"/>
  <c r="Y40" i="18"/>
  <c r="AD49" i="17"/>
  <c r="Y41" i="18" s="1"/>
  <c r="Y21" i="18" l="1"/>
  <c r="AD28" i="17"/>
  <c r="AD17" i="17" l="1"/>
  <c r="AD30" i="17" s="1"/>
  <c r="Y15" i="18" l="1"/>
  <c r="AD19" i="17"/>
  <c r="Y18" i="18" s="1"/>
  <c r="AD20" i="17"/>
  <c r="Y19" i="18" s="1"/>
  <c r="AD38" i="17"/>
  <c r="AE21" i="17" l="1"/>
  <c r="AE22" i="17" s="1"/>
  <c r="AE25" i="17" s="1"/>
  <c r="AD40" i="17"/>
  <c r="Y32" i="18" s="1"/>
  <c r="Y30" i="18"/>
  <c r="AE42" i="17" l="1"/>
  <c r="AE44" i="17" l="1"/>
  <c r="Z34" i="18"/>
  <c r="AE48" i="17" l="1"/>
  <c r="AE45" i="17"/>
  <c r="Z36" i="18"/>
  <c r="AE46" i="17"/>
  <c r="Z38" i="18" s="1"/>
  <c r="AE27" i="17" l="1"/>
  <c r="AE47" i="17"/>
  <c r="Z39" i="18" s="1"/>
  <c r="Z37" i="18"/>
  <c r="AE49" i="17"/>
  <c r="Z41" i="18" s="1"/>
  <c r="Z40" i="18"/>
  <c r="Z21" i="18" l="1"/>
  <c r="AE28" i="17"/>
  <c r="AE17" i="17" l="1"/>
  <c r="AE30" i="17" s="1"/>
  <c r="AE19" i="17" l="1"/>
  <c r="Z18" i="18" s="1"/>
  <c r="Z15" i="18"/>
  <c r="AE20" i="17"/>
  <c r="Z19" i="18" s="1"/>
  <c r="AE38" i="17"/>
  <c r="AF21" i="17" l="1"/>
  <c r="AF22" i="17" s="1"/>
  <c r="AF25" i="17" s="1"/>
  <c r="AE40" i="17"/>
  <c r="Z32" i="18" s="1"/>
  <c r="Z30" i="18"/>
  <c r="AF42" i="17" l="1"/>
  <c r="AF44" i="17" l="1"/>
  <c r="AA34" i="18"/>
  <c r="AF48" i="17" l="1"/>
  <c r="AF45" i="17"/>
  <c r="AA36" i="18"/>
  <c r="AF46" i="17"/>
  <c r="AA38" i="18" s="1"/>
  <c r="AF27" i="17" l="1"/>
  <c r="AA37" i="18"/>
  <c r="AF47" i="17"/>
  <c r="AA39" i="18" s="1"/>
  <c r="AF49" i="17"/>
  <c r="AA41" i="18" s="1"/>
  <c r="AA40" i="18"/>
  <c r="AA21" i="18" l="1"/>
  <c r="AF28" i="17"/>
  <c r="AF17" i="17" l="1"/>
  <c r="AF30" i="17" s="1"/>
  <c r="AF38" i="17" l="1"/>
  <c r="AF19" i="17"/>
  <c r="AA18" i="18" s="1"/>
  <c r="AA15" i="18"/>
  <c r="AF20" i="17"/>
  <c r="AA19" i="18" s="1"/>
  <c r="AG21" i="17" l="1"/>
  <c r="AG22" i="17" s="1"/>
  <c r="AG25" i="17" s="1"/>
  <c r="AA30" i="18"/>
  <c r="AF40" i="17"/>
  <c r="AA32" i="18" s="1"/>
  <c r="AG42" i="17" l="1"/>
  <c r="AG44" i="17" l="1"/>
  <c r="AB34" i="18"/>
  <c r="AG48" i="17" l="1"/>
  <c r="AB36" i="18"/>
  <c r="AG46" i="17"/>
  <c r="AB38" i="18" s="1"/>
  <c r="AG45" i="17"/>
  <c r="AG27" i="17" l="1"/>
  <c r="AB37" i="18"/>
  <c r="AG47" i="17"/>
  <c r="AB39" i="18" s="1"/>
  <c r="AG49" i="17"/>
  <c r="AB41" i="18" s="1"/>
  <c r="AB40" i="18"/>
  <c r="AB21" i="18" l="1"/>
  <c r="AG28" i="17"/>
  <c r="AG17" i="17" l="1"/>
  <c r="AG30" i="17" s="1"/>
  <c r="AG19" i="17" l="1"/>
  <c r="AB18" i="18" s="1"/>
  <c r="AG20" i="17"/>
  <c r="AB19" i="18" s="1"/>
  <c r="AB15" i="18"/>
  <c r="AG38" i="17"/>
  <c r="AH21" i="17" l="1"/>
  <c r="AH22" i="17" s="1"/>
  <c r="AH25" i="17" s="1"/>
  <c r="AG40" i="17"/>
  <c r="AB32" i="18" s="1"/>
  <c r="AB30" i="18"/>
  <c r="AH42" i="17" l="1"/>
  <c r="AH44" i="17" l="1"/>
  <c r="AC34" i="18"/>
  <c r="AH48" i="17" l="1"/>
  <c r="AH46" i="17"/>
  <c r="AC38" i="18" s="1"/>
  <c r="AH45" i="17"/>
  <c r="AC36" i="18"/>
  <c r="AH27" i="17" l="1"/>
  <c r="AC37" i="18"/>
  <c r="AH47" i="17"/>
  <c r="AC39" i="18" s="1"/>
  <c r="AH49" i="17"/>
  <c r="AC41" i="18" s="1"/>
  <c r="AC40" i="18"/>
  <c r="AC21" i="18" l="1"/>
  <c r="AH28" i="17"/>
  <c r="AH17" i="17" l="1"/>
  <c r="AH30" i="17" s="1"/>
  <c r="AH38" i="17" l="1"/>
  <c r="AH19" i="17"/>
  <c r="AC18" i="18" s="1"/>
  <c r="AH20" i="17"/>
  <c r="AC19" i="18" s="1"/>
  <c r="AC15" i="18"/>
  <c r="AI21" i="17" l="1"/>
  <c r="AI22" i="17" s="1"/>
  <c r="AI25" i="17" s="1"/>
  <c r="AC30" i="18"/>
  <c r="AH40" i="17"/>
  <c r="AC32" i="18" s="1"/>
  <c r="AI42" i="17" l="1"/>
  <c r="AI44" i="17" l="1"/>
  <c r="AD34" i="18"/>
  <c r="AI48" i="17" l="1"/>
  <c r="AI45" i="17"/>
  <c r="AD36" i="18"/>
  <c r="AI46" i="17"/>
  <c r="AD38" i="18" s="1"/>
  <c r="AI27" i="17" l="1"/>
  <c r="AD37" i="18"/>
  <c r="AI47" i="17"/>
  <c r="AD39" i="18" s="1"/>
  <c r="AI49" i="17"/>
  <c r="AD41" i="18" s="1"/>
  <c r="AD40" i="18"/>
  <c r="AD21" i="18" l="1"/>
  <c r="AI28" i="17"/>
  <c r="AI17" i="17" l="1"/>
  <c r="AI30" i="17" s="1"/>
  <c r="AD15" i="18" l="1"/>
  <c r="AI20" i="17"/>
  <c r="AD19" i="18" s="1"/>
  <c r="AI19" i="17"/>
  <c r="AD18" i="18" s="1"/>
  <c r="AI38" i="17"/>
  <c r="AJ21" i="17" l="1"/>
  <c r="AJ22" i="17" s="1"/>
  <c r="AJ25" i="17" s="1"/>
  <c r="AI40" i="17"/>
  <c r="AD32" i="18" s="1"/>
  <c r="AD30" i="18"/>
  <c r="AJ42" i="17" l="1"/>
  <c r="AJ44" i="17" s="1"/>
  <c r="AJ48" i="17" l="1"/>
  <c r="AJ46" i="17"/>
  <c r="AJ45" i="17"/>
  <c r="AJ27" i="17" l="1"/>
  <c r="AJ28" i="17" s="1"/>
  <c r="AJ47" i="17"/>
  <c r="AJ49" i="17"/>
  <c r="AJ17" i="17" l="1"/>
  <c r="AJ30" i="17" s="1"/>
  <c r="AJ20" i="17" l="1"/>
  <c r="AL20" i="17" s="1"/>
  <c r="AJ19" i="17"/>
  <c r="AL19" i="17" s="1"/>
  <c r="AJ38" i="17"/>
  <c r="AJ40" i="17" s="1"/>
</calcChain>
</file>

<file path=xl/sharedStrings.xml><?xml version="1.0" encoding="utf-8"?>
<sst xmlns="http://schemas.openxmlformats.org/spreadsheetml/2006/main" count="183" uniqueCount="56">
  <si>
    <t>Income Source</t>
  </si>
  <si>
    <t>Age Mr. B</t>
  </si>
  <si>
    <t>Age Mrs. B</t>
  </si>
  <si>
    <t>Bob's Pension</t>
  </si>
  <si>
    <t>Susan's Pension</t>
  </si>
  <si>
    <t>Susan's Social Security</t>
  </si>
  <si>
    <t>Bob's Social Security</t>
  </si>
  <si>
    <t>Susan's IRA</t>
  </si>
  <si>
    <t>Bob's IRA</t>
  </si>
  <si>
    <t>Bob's Roth</t>
  </si>
  <si>
    <t>Total Income Sources</t>
  </si>
  <si>
    <t>Non Taxable Income</t>
  </si>
  <si>
    <t>Taxable Income</t>
  </si>
  <si>
    <t>Account Balances</t>
  </si>
  <si>
    <t>Net Value</t>
  </si>
  <si>
    <t>Taxes Due</t>
  </si>
  <si>
    <t>Annual After Tax Income</t>
  </si>
  <si>
    <t>Rate of Return =</t>
  </si>
  <si>
    <t xml:space="preserve">Age </t>
  </si>
  <si>
    <t xml:space="preserve">Distribution Period </t>
  </si>
  <si>
    <t xml:space="preserve">From </t>
  </si>
  <si>
    <t>To</t>
  </si>
  <si>
    <t>Rate</t>
  </si>
  <si>
    <t>Cumulative</t>
  </si>
  <si>
    <t>Marginal Rate</t>
  </si>
  <si>
    <t>Gross Taxabale Income</t>
  </si>
  <si>
    <t>Net Taxable Income</t>
  </si>
  <si>
    <t>Itemized Deductions</t>
  </si>
  <si>
    <t>Federal Income Tax</t>
  </si>
  <si>
    <t>State Income Tax</t>
  </si>
  <si>
    <t>Effective Federal Rate</t>
  </si>
  <si>
    <t>Effective Total Rate</t>
  </si>
  <si>
    <t>Monthly after Tax Cash</t>
  </si>
  <si>
    <t>US Federal Income Tax</t>
  </si>
  <si>
    <t>Brokerage Account</t>
  </si>
  <si>
    <t>eTrade IRA</t>
  </si>
  <si>
    <t>Wells Fargo Brokerage</t>
  </si>
  <si>
    <t>Nutrien 401K</t>
  </si>
  <si>
    <t>eTrade Brokerage</t>
  </si>
  <si>
    <t>Bob's Roth IRA</t>
  </si>
  <si>
    <t>Value</t>
  </si>
  <si>
    <t>Portfolio</t>
  </si>
  <si>
    <t>Wells Fargo IRA</t>
  </si>
  <si>
    <t>Inflation</t>
  </si>
  <si>
    <t>Taxable Roth Conversion</t>
  </si>
  <si>
    <t>Annual Afrer Tax Income</t>
  </si>
  <si>
    <t>Base Taxable Income</t>
  </si>
  <si>
    <t>Interest Income</t>
  </si>
  <si>
    <t>Check</t>
  </si>
  <si>
    <t>Taxable Income with Roth</t>
  </si>
  <si>
    <t>GrossTaxable Income before Roth</t>
  </si>
  <si>
    <t>Wells Fargo Brokerage Account</t>
  </si>
  <si>
    <t>Total Net Income Target</t>
  </si>
  <si>
    <t>Total Net Income</t>
  </si>
  <si>
    <t>Gross Income with Roth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</si>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</sst>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.00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F4148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3"/>
      <color rgb="FFCCCC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0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2" applyNumberFormat="1" applyFont="1"/>
    <xf numFmtId="0" fontId="0" fillId="2" borderId="1" xfId="0" applyFill="1" applyBorder="1"/>
    <xf numFmtId="164" fontId="0" fillId="2" borderId="1" xfId="1" applyNumberFormat="1" applyFont="1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164" fontId="0" fillId="6" borderId="1" xfId="1" applyNumberFormat="1" applyFont="1" applyFill="1" applyBorder="1"/>
    <xf numFmtId="0" fontId="2" fillId="4" borderId="1" xfId="0" applyFont="1" applyFill="1" applyBorder="1"/>
    <xf numFmtId="0" fontId="0" fillId="6" borderId="0" xfId="0" applyFill="1"/>
    <xf numFmtId="0" fontId="0" fillId="5" borderId="0" xfId="0" applyFill="1"/>
    <xf numFmtId="164" fontId="2" fillId="4" borderId="1" xfId="1" applyNumberFormat="1" applyFont="1" applyFill="1" applyBorder="1"/>
    <xf numFmtId="0" fontId="2" fillId="4" borderId="0" xfId="0" applyFont="1" applyFill="1"/>
    <xf numFmtId="0" fontId="0" fillId="0" borderId="5" xfId="0" applyBorder="1"/>
    <xf numFmtId="0" fontId="0" fillId="2" borderId="4" xfId="0" applyFill="1" applyBorder="1"/>
    <xf numFmtId="164" fontId="0" fillId="2" borderId="4" xfId="1" applyNumberFormat="1" applyFont="1" applyFill="1" applyBorder="1"/>
    <xf numFmtId="0" fontId="2" fillId="0" borderId="6" xfId="0" applyFont="1" applyBorder="1"/>
    <xf numFmtId="0" fontId="0" fillId="0" borderId="6" xfId="0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2" fillId="3" borderId="2" xfId="2" applyFont="1" applyFill="1" applyBorder="1"/>
    <xf numFmtId="0" fontId="2" fillId="3" borderId="3" xfId="0" applyFont="1" applyFill="1" applyBorder="1"/>
    <xf numFmtId="0" fontId="3" fillId="8" borderId="1" xfId="0" applyFont="1" applyFill="1" applyBorder="1"/>
    <xf numFmtId="164" fontId="0" fillId="2" borderId="7" xfId="1" applyNumberFormat="1" applyFont="1" applyFill="1" applyBorder="1"/>
    <xf numFmtId="164" fontId="0" fillId="2" borderId="8" xfId="1" applyNumberFormat="1" applyFont="1" applyFill="1" applyBorder="1"/>
    <xf numFmtId="164" fontId="0" fillId="7" borderId="8" xfId="1" applyNumberFormat="1" applyFont="1" applyFill="1" applyBorder="1"/>
    <xf numFmtId="0" fontId="0" fillId="2" borderId="5" xfId="0" applyFill="1" applyBorder="1"/>
    <xf numFmtId="0" fontId="0" fillId="5" borderId="5" xfId="0" applyFill="1" applyBorder="1"/>
    <xf numFmtId="0" fontId="0" fillId="6" borderId="5" xfId="0" applyFill="1" applyBorder="1"/>
    <xf numFmtId="0" fontId="2" fillId="4" borderId="5" xfId="0" applyFont="1" applyFill="1" applyBorder="1"/>
    <xf numFmtId="0" fontId="0" fillId="7" borderId="5" xfId="0" applyFill="1" applyBorder="1"/>
    <xf numFmtId="0" fontId="3" fillId="8" borderId="5" xfId="0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6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6" fontId="7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left"/>
    </xf>
    <xf numFmtId="0" fontId="0" fillId="9" borderId="1" xfId="0" applyFill="1" applyBorder="1"/>
    <xf numFmtId="164" fontId="0" fillId="9" borderId="1" xfId="1" applyNumberFormat="1" applyFont="1" applyFill="1" applyBorder="1"/>
    <xf numFmtId="10" fontId="0" fillId="9" borderId="1" xfId="0" applyNumberFormat="1" applyFill="1" applyBorder="1" applyAlignment="1">
      <alignment horizontal="right"/>
    </xf>
    <xf numFmtId="164" fontId="0" fillId="9" borderId="1" xfId="1" applyNumberFormat="1" applyFont="1" applyFill="1" applyBorder="1" applyAlignment="1">
      <alignment horizontal="right"/>
    </xf>
    <xf numFmtId="44" fontId="0" fillId="0" borderId="0" xfId="0" applyNumberFormat="1"/>
    <xf numFmtId="164" fontId="0" fillId="0" borderId="0" xfId="0" applyNumberFormat="1"/>
    <xf numFmtId="0" fontId="3" fillId="10" borderId="1" xfId="0" applyFont="1" applyFill="1" applyBorder="1"/>
    <xf numFmtId="164" fontId="3" fillId="10" borderId="1" xfId="1" applyNumberFormat="1" applyFont="1" applyFill="1" applyBorder="1"/>
    <xf numFmtId="9" fontId="8" fillId="0" borderId="0" xfId="0" applyNumberFormat="1" applyFont="1"/>
    <xf numFmtId="0" fontId="9" fillId="0" borderId="0" xfId="0" applyFont="1"/>
    <xf numFmtId="9" fontId="6" fillId="0" borderId="0" xfId="2" applyFont="1"/>
    <xf numFmtId="4" fontId="10" fillId="0" borderId="0" xfId="0" applyNumberFormat="1" applyFont="1"/>
    <xf numFmtId="0" fontId="10" fillId="0" borderId="0" xfId="0" applyFont="1"/>
    <xf numFmtId="0" fontId="11" fillId="0" borderId="0" xfId="0" applyFont="1"/>
    <xf numFmtId="44" fontId="0" fillId="0" borderId="0" xfId="1" applyFont="1"/>
    <xf numFmtId="0" fontId="0" fillId="3" borderId="0" xfId="0" applyFill="1"/>
    <xf numFmtId="164" fontId="0" fillId="3" borderId="4" xfId="1" applyNumberFormat="1" applyFont="1" applyFill="1" applyBorder="1"/>
    <xf numFmtId="164" fontId="0" fillId="7" borderId="1" xfId="0" applyNumberFormat="1" applyFill="1" applyBorder="1"/>
    <xf numFmtId="164" fontId="0" fillId="6" borderId="8" xfId="1" applyNumberFormat="1" applyFont="1" applyFill="1" applyBorder="1"/>
    <xf numFmtId="164" fontId="2" fillId="4" borderId="8" xfId="1" applyNumberFormat="1" applyFont="1" applyFill="1" applyBorder="1"/>
    <xf numFmtId="164" fontId="3" fillId="10" borderId="8" xfId="1" applyNumberFormat="1" applyFont="1" applyFill="1" applyBorder="1"/>
    <xf numFmtId="164" fontId="0" fillId="9" borderId="8" xfId="1" applyNumberFormat="1" applyFont="1" applyFill="1" applyBorder="1"/>
    <xf numFmtId="10" fontId="0" fillId="9" borderId="8" xfId="0" applyNumberFormat="1" applyFill="1" applyBorder="1" applyAlignment="1">
      <alignment horizontal="right"/>
    </xf>
    <xf numFmtId="164" fontId="0" fillId="9" borderId="8" xfId="1" applyNumberFormat="1" applyFont="1" applyFill="1" applyBorder="1" applyAlignment="1">
      <alignment horizontal="right"/>
    </xf>
    <xf numFmtId="164" fontId="0" fillId="2" borderId="9" xfId="1" applyNumberFormat="1" applyFont="1" applyFill="1" applyBorder="1"/>
    <xf numFmtId="164" fontId="0" fillId="2" borderId="5" xfId="1" applyNumberFormat="1" applyFont="1" applyFill="1" applyBorder="1"/>
    <xf numFmtId="164" fontId="0" fillId="6" borderId="5" xfId="1" applyNumberFormat="1" applyFont="1" applyFill="1" applyBorder="1"/>
    <xf numFmtId="164" fontId="2" fillId="4" borderId="5" xfId="1" applyNumberFormat="1" applyFont="1" applyFill="1" applyBorder="1"/>
    <xf numFmtId="164" fontId="0" fillId="7" borderId="5" xfId="1" applyNumberFormat="1" applyFont="1" applyFill="1" applyBorder="1"/>
    <xf numFmtId="164" fontId="0" fillId="9" borderId="5" xfId="1" applyNumberFormat="1" applyFont="1" applyFill="1" applyBorder="1"/>
    <xf numFmtId="10" fontId="0" fillId="9" borderId="5" xfId="0" applyNumberFormat="1" applyFill="1" applyBorder="1" applyAlignment="1">
      <alignment horizontal="right"/>
    </xf>
    <xf numFmtId="164" fontId="0" fillId="9" borderId="5" xfId="1" applyNumberFormat="1" applyFont="1" applyFill="1" applyBorder="1" applyAlignment="1">
      <alignment horizontal="right"/>
    </xf>
    <xf numFmtId="164" fontId="0" fillId="2" borderId="10" xfId="1" applyNumberFormat="1" applyFont="1" applyFill="1" applyBorder="1"/>
    <xf numFmtId="164" fontId="0" fillId="2" borderId="11" xfId="1" applyNumberFormat="1" applyFont="1" applyFill="1" applyBorder="1"/>
    <xf numFmtId="164" fontId="0" fillId="2" borderId="12" xfId="1" applyNumberFormat="1" applyFont="1" applyFill="1" applyBorder="1"/>
    <xf numFmtId="164" fontId="0" fillId="2" borderId="13" xfId="1" applyNumberFormat="1" applyFont="1" applyFill="1" applyBorder="1"/>
    <xf numFmtId="164" fontId="0" fillId="2" borderId="14" xfId="1" applyNumberFormat="1" applyFont="1" applyFill="1" applyBorder="1"/>
    <xf numFmtId="164" fontId="0" fillId="6" borderId="13" xfId="1" applyNumberFormat="1" applyFont="1" applyFill="1" applyBorder="1"/>
    <xf numFmtId="164" fontId="0" fillId="6" borderId="14" xfId="1" applyNumberFormat="1" applyFont="1" applyFill="1" applyBorder="1"/>
    <xf numFmtId="0" fontId="0" fillId="0" borderId="15" xfId="0" applyBorder="1"/>
    <xf numFmtId="0" fontId="0" fillId="0" borderId="16" xfId="0" applyBorder="1"/>
    <xf numFmtId="164" fontId="2" fillId="4" borderId="13" xfId="1" applyNumberFormat="1" applyFont="1" applyFill="1" applyBorder="1"/>
    <xf numFmtId="164" fontId="2" fillId="4" borderId="14" xfId="1" applyNumberFormat="1" applyFont="1" applyFill="1" applyBorder="1"/>
    <xf numFmtId="164" fontId="0" fillId="7" borderId="13" xfId="1" applyNumberFormat="1" applyFont="1" applyFill="1" applyBorder="1"/>
    <xf numFmtId="164" fontId="0" fillId="7" borderId="14" xfId="1" applyNumberFormat="1" applyFont="1" applyFill="1" applyBorder="1"/>
    <xf numFmtId="164" fontId="0" fillId="7" borderId="13" xfId="0" applyNumberFormat="1" applyFill="1" applyBorder="1"/>
    <xf numFmtId="164" fontId="0" fillId="7" borderId="14" xfId="0" applyNumberFormat="1" applyFill="1" applyBorder="1"/>
    <xf numFmtId="164" fontId="3" fillId="10" borderId="13" xfId="1" applyNumberFormat="1" applyFont="1" applyFill="1" applyBorder="1"/>
    <xf numFmtId="164" fontId="3" fillId="10" borderId="14" xfId="1" applyNumberFormat="1" applyFont="1" applyFill="1" applyBorder="1"/>
    <xf numFmtId="164" fontId="0" fillId="0" borderId="15" xfId="1" applyNumberFormat="1" applyFont="1" applyBorder="1"/>
    <xf numFmtId="164" fontId="0" fillId="0" borderId="0" xfId="1" applyNumberFormat="1" applyFont="1" applyBorder="1"/>
    <xf numFmtId="164" fontId="0" fillId="0" borderId="16" xfId="1" applyNumberFormat="1" applyFon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9" borderId="13" xfId="1" applyNumberFormat="1" applyFont="1" applyFill="1" applyBorder="1"/>
    <xf numFmtId="164" fontId="0" fillId="9" borderId="14" xfId="1" applyNumberFormat="1" applyFont="1" applyFill="1" applyBorder="1"/>
    <xf numFmtId="10" fontId="0" fillId="9" borderId="13" xfId="0" applyNumberFormat="1" applyFill="1" applyBorder="1" applyAlignment="1">
      <alignment horizontal="right"/>
    </xf>
    <xf numFmtId="10" fontId="0" fillId="9" borderId="14" xfId="0" applyNumberFormat="1" applyFill="1" applyBorder="1" applyAlignment="1">
      <alignment horizontal="right"/>
    </xf>
    <xf numFmtId="164" fontId="0" fillId="9" borderId="13" xfId="1" applyNumberFormat="1" applyFont="1" applyFill="1" applyBorder="1" applyAlignment="1">
      <alignment horizontal="right"/>
    </xf>
    <xf numFmtId="164" fontId="0" fillId="9" borderId="14" xfId="1" applyNumberFormat="1" applyFont="1" applyFill="1" applyBorder="1" applyAlignment="1">
      <alignment horizontal="right"/>
    </xf>
    <xf numFmtId="10" fontId="0" fillId="9" borderId="17" xfId="0" applyNumberFormat="1" applyFill="1" applyBorder="1" applyAlignment="1">
      <alignment horizontal="right"/>
    </xf>
    <xf numFmtId="10" fontId="0" fillId="9" borderId="18" xfId="0" applyNumberFormat="1" applyFill="1" applyBorder="1" applyAlignment="1">
      <alignment horizontal="right"/>
    </xf>
    <xf numFmtId="10" fontId="0" fillId="9" borderId="19" xfId="0" applyNumberFormat="1" applyFill="1" applyBorder="1" applyAlignment="1">
      <alignment horizontal="right"/>
    </xf>
    <xf numFmtId="0" fontId="12" fillId="0" borderId="0" xfId="0" applyFont="1"/>
    <xf numFmtId="0" fontId="12" fillId="6" borderId="1" xfId="0" applyFont="1" applyFill="1" applyBorder="1"/>
    <xf numFmtId="164" fontId="0" fillId="6" borderId="20" xfId="1" applyNumberFormat="1" applyFont="1" applyFill="1" applyBorder="1"/>
    <xf numFmtId="0" fontId="13" fillId="0" borderId="0" xfId="0" applyFont="1"/>
    <xf numFmtId="6" fontId="7" fillId="0" borderId="0" xfId="0" applyNumberFormat="1" applyFont="1" applyAlignment="1">
      <alignment horizontal="center"/>
    </xf>
    <xf numFmtId="165" fontId="10" fillId="0" borderId="0" xfId="0" applyNumberFormat="1" applyFont="1"/>
  </cellXfs>
  <cellStyles count="106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  <cellStyle name="Normal 2" xfId="61" xr:uid="{00000000-0005-0000-0000-000068000000}"/>
    <cellStyle name="Percent" xfId="2" builtinId="5"/>
  </cellStyles>
  <dxfs count="0"/>
  <tableStyles count="0" defaultTableStyle="TableStyleMedium2" defaultPivotStyle="PivotStyleLight16"/>
  <colors>
    <mruColors>
      <color rgb="FFED7E47"/>
      <color rgb="FF73FEFF"/>
      <color rgb="FF00FA00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B44"/>
  <sheetViews>
    <sheetView zoomScale="130" zoomScaleNormal="130" zoomScalePageLayoutView="12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K9" sqref="K9:K14"/>
    </sheetView>
  </sheetViews>
  <sheetFormatPr baseColWidth="10" defaultRowHeight="16" x14ac:dyDescent="0.2"/>
  <cols>
    <col min="1" max="1" width="27.6640625" bestFit="1" customWidth="1"/>
    <col min="2" max="2" width="3.1640625" customWidth="1"/>
    <col min="3" max="7" width="13.83203125" hidden="1" customWidth="1"/>
    <col min="8" max="36" width="13.83203125" customWidth="1"/>
  </cols>
  <sheetData>
    <row r="1" spans="1:522" x14ac:dyDescent="0.2">
      <c r="D1" s="3"/>
    </row>
    <row r="3" spans="1:522" s="1" customFormat="1" x14ac:dyDescent="0.2">
      <c r="C3" s="1">
        <v>2019</v>
      </c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  <c r="AI3" s="1">
        <v>2051</v>
      </c>
      <c r="AJ3" s="1">
        <v>2052</v>
      </c>
    </row>
    <row r="4" spans="1:522" x14ac:dyDescent="0.2">
      <c r="A4" t="s">
        <v>1</v>
      </c>
      <c r="C4">
        <v>57</v>
      </c>
      <c r="D4">
        <v>58</v>
      </c>
      <c r="E4">
        <v>59</v>
      </c>
      <c r="F4">
        <v>60</v>
      </c>
      <c r="G4">
        <v>61</v>
      </c>
      <c r="H4">
        <v>62</v>
      </c>
      <c r="I4">
        <v>63</v>
      </c>
      <c r="J4">
        <v>64</v>
      </c>
      <c r="K4">
        <v>65</v>
      </c>
      <c r="L4">
        <v>66</v>
      </c>
      <c r="M4">
        <v>67</v>
      </c>
      <c r="N4">
        <v>68</v>
      </c>
      <c r="O4">
        <v>69</v>
      </c>
      <c r="P4">
        <v>70</v>
      </c>
      <c r="Q4">
        <v>71</v>
      </c>
      <c r="R4">
        <v>72</v>
      </c>
      <c r="S4">
        <v>73</v>
      </c>
      <c r="T4">
        <v>74</v>
      </c>
      <c r="U4">
        <v>75</v>
      </c>
      <c r="V4">
        <v>76</v>
      </c>
      <c r="W4">
        <v>77</v>
      </c>
      <c r="X4">
        <v>78</v>
      </c>
      <c r="Y4">
        <v>79</v>
      </c>
      <c r="Z4">
        <v>80</v>
      </c>
      <c r="AA4">
        <v>81</v>
      </c>
      <c r="AB4">
        <v>82</v>
      </c>
      <c r="AC4">
        <v>83</v>
      </c>
      <c r="AD4">
        <v>84</v>
      </c>
      <c r="AE4">
        <v>85</v>
      </c>
      <c r="AF4">
        <v>86</v>
      </c>
      <c r="AG4">
        <v>87</v>
      </c>
      <c r="AH4">
        <v>88</v>
      </c>
      <c r="AI4">
        <v>89</v>
      </c>
      <c r="AJ4">
        <v>90</v>
      </c>
    </row>
    <row r="5" spans="1:522" x14ac:dyDescent="0.2"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S5">
        <v>8</v>
      </c>
      <c r="T5">
        <v>9</v>
      </c>
      <c r="U5">
        <v>10</v>
      </c>
      <c r="V5">
        <v>11</v>
      </c>
      <c r="W5">
        <v>12</v>
      </c>
      <c r="X5">
        <v>13</v>
      </c>
      <c r="Y5">
        <v>14</v>
      </c>
      <c r="Z5">
        <v>15</v>
      </c>
      <c r="AA5">
        <v>16</v>
      </c>
      <c r="AB5">
        <v>17</v>
      </c>
      <c r="AC5">
        <v>18</v>
      </c>
      <c r="AD5">
        <v>19</v>
      </c>
      <c r="AE5">
        <v>20</v>
      </c>
      <c r="AF5">
        <v>21</v>
      </c>
      <c r="AG5">
        <v>22</v>
      </c>
      <c r="AH5">
        <v>23</v>
      </c>
      <c r="AI5">
        <v>24</v>
      </c>
      <c r="AJ5">
        <v>25</v>
      </c>
    </row>
    <row r="6" spans="1:522" ht="17" thickBot="1" x14ac:dyDescent="0.25">
      <c r="A6" t="s">
        <v>2</v>
      </c>
      <c r="C6">
        <v>67</v>
      </c>
      <c r="D6">
        <v>68</v>
      </c>
      <c r="E6">
        <v>69</v>
      </c>
      <c r="F6">
        <v>70</v>
      </c>
      <c r="G6">
        <v>71</v>
      </c>
      <c r="H6">
        <v>72</v>
      </c>
      <c r="I6">
        <v>73</v>
      </c>
      <c r="J6">
        <v>74</v>
      </c>
      <c r="K6">
        <v>75</v>
      </c>
      <c r="L6">
        <v>76</v>
      </c>
      <c r="M6">
        <v>77</v>
      </c>
      <c r="N6">
        <v>78</v>
      </c>
      <c r="O6">
        <v>79</v>
      </c>
      <c r="P6">
        <v>80</v>
      </c>
      <c r="Q6">
        <v>81</v>
      </c>
      <c r="R6">
        <v>82</v>
      </c>
      <c r="S6">
        <v>83</v>
      </c>
      <c r="T6">
        <v>84</v>
      </c>
      <c r="U6">
        <v>85</v>
      </c>
      <c r="V6">
        <v>86</v>
      </c>
      <c r="W6">
        <v>87</v>
      </c>
      <c r="X6">
        <v>88</v>
      </c>
      <c r="Y6">
        <v>89</v>
      </c>
      <c r="Z6">
        <v>90</v>
      </c>
      <c r="AA6">
        <v>91</v>
      </c>
      <c r="AB6">
        <v>92</v>
      </c>
      <c r="AC6">
        <v>93</v>
      </c>
      <c r="AD6">
        <v>94</v>
      </c>
      <c r="AE6">
        <v>95</v>
      </c>
      <c r="AF6">
        <v>96</v>
      </c>
      <c r="AG6">
        <v>97</v>
      </c>
      <c r="AH6">
        <v>98</v>
      </c>
      <c r="AI6">
        <v>99</v>
      </c>
      <c r="AJ6">
        <v>100</v>
      </c>
    </row>
    <row r="7" spans="1:522" ht="16" customHeight="1" thickBot="1" x14ac:dyDescent="0.25">
      <c r="I7" s="22" t="s">
        <v>17</v>
      </c>
      <c r="J7" s="23">
        <v>1.06</v>
      </c>
      <c r="L7" s="22" t="s">
        <v>43</v>
      </c>
      <c r="M7" s="23">
        <v>1.03</v>
      </c>
      <c r="O7" s="61" t="s">
        <v>45</v>
      </c>
      <c r="P7" s="61"/>
      <c r="Q7" s="62">
        <v>325000</v>
      </c>
    </row>
    <row r="8" spans="1:522" s="6" customFormat="1" x14ac:dyDescent="0.2">
      <c r="A8" s="18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 s="15"/>
    </row>
    <row r="9" spans="1:522" s="4" customFormat="1" x14ac:dyDescent="0.2">
      <c r="A9" s="16" t="s">
        <v>3</v>
      </c>
      <c r="B9" s="16"/>
      <c r="C9" s="17">
        <v>134686</v>
      </c>
      <c r="D9" s="17">
        <v>134686</v>
      </c>
      <c r="E9" s="17">
        <v>134686</v>
      </c>
      <c r="F9" s="17">
        <v>134686</v>
      </c>
      <c r="G9" s="17">
        <v>134686</v>
      </c>
      <c r="H9" s="17">
        <v>134686</v>
      </c>
      <c r="I9" s="17">
        <v>134686</v>
      </c>
      <c r="J9" s="17">
        <v>134686</v>
      </c>
      <c r="K9" s="17">
        <v>134686</v>
      </c>
      <c r="L9" s="17">
        <v>134686</v>
      </c>
      <c r="M9" s="17">
        <v>134686</v>
      </c>
      <c r="N9" s="17">
        <v>134686</v>
      </c>
      <c r="O9" s="17">
        <v>134686</v>
      </c>
      <c r="P9" s="17">
        <v>134686</v>
      </c>
      <c r="Q9" s="17">
        <v>134686</v>
      </c>
      <c r="R9" s="17">
        <v>134686</v>
      </c>
      <c r="S9" s="17">
        <v>134686</v>
      </c>
      <c r="T9" s="17">
        <v>134686</v>
      </c>
      <c r="U9" s="17">
        <v>134686</v>
      </c>
      <c r="V9" s="17">
        <v>134686</v>
      </c>
      <c r="W9" s="17">
        <v>134686</v>
      </c>
      <c r="X9" s="17">
        <v>134686</v>
      </c>
      <c r="Y9" s="17">
        <v>134686</v>
      </c>
      <c r="Z9" s="17">
        <v>134686</v>
      </c>
      <c r="AA9" s="17">
        <v>134686</v>
      </c>
      <c r="AB9" s="17">
        <v>134686</v>
      </c>
      <c r="AC9" s="17">
        <v>134686</v>
      </c>
      <c r="AD9" s="17">
        <v>134686</v>
      </c>
      <c r="AE9" s="17">
        <v>134686</v>
      </c>
      <c r="AF9" s="17">
        <v>134686</v>
      </c>
      <c r="AG9" s="17">
        <v>134686</v>
      </c>
      <c r="AH9" s="17">
        <v>134686</v>
      </c>
      <c r="AI9" s="17">
        <v>134686</v>
      </c>
      <c r="AJ9" s="25">
        <v>134686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28"/>
    </row>
    <row r="10" spans="1:522" s="4" customFormat="1" x14ac:dyDescent="0.2">
      <c r="A10" s="4" t="s">
        <v>4</v>
      </c>
      <c r="C10" s="5">
        <v>22000</v>
      </c>
      <c r="D10" s="5">
        <v>22000</v>
      </c>
      <c r="E10" s="5">
        <v>22000</v>
      </c>
      <c r="F10" s="5">
        <v>22000</v>
      </c>
      <c r="G10" s="5">
        <v>22000</v>
      </c>
      <c r="H10" s="5">
        <v>22000</v>
      </c>
      <c r="I10" s="5">
        <v>22000</v>
      </c>
      <c r="J10" s="5">
        <v>22000</v>
      </c>
      <c r="K10" s="5">
        <v>22000</v>
      </c>
      <c r="L10" s="5">
        <v>22000</v>
      </c>
      <c r="M10" s="5">
        <v>22000</v>
      </c>
      <c r="N10" s="5">
        <v>22000</v>
      </c>
      <c r="O10" s="5">
        <v>22000</v>
      </c>
      <c r="P10" s="5">
        <v>22000</v>
      </c>
      <c r="Q10" s="5">
        <v>22000</v>
      </c>
      <c r="R10" s="5">
        <v>22000</v>
      </c>
      <c r="S10" s="5">
        <v>22000</v>
      </c>
      <c r="T10" s="5">
        <v>22000</v>
      </c>
      <c r="U10" s="5">
        <v>22000</v>
      </c>
      <c r="V10" s="5">
        <v>22000</v>
      </c>
      <c r="W10" s="5">
        <v>22000</v>
      </c>
      <c r="X10" s="5">
        <v>22000</v>
      </c>
      <c r="Y10" s="5">
        <v>22000</v>
      </c>
      <c r="Z10" s="5">
        <v>22000</v>
      </c>
      <c r="AA10" s="5">
        <v>22000</v>
      </c>
      <c r="AB10" s="5">
        <v>22000</v>
      </c>
      <c r="AC10" s="5">
        <v>22000</v>
      </c>
      <c r="AD10" s="5">
        <v>22000</v>
      </c>
      <c r="AE10" s="5">
        <v>22000</v>
      </c>
      <c r="AF10" s="5">
        <v>22000</v>
      </c>
      <c r="AG10" s="5">
        <v>22000</v>
      </c>
      <c r="AH10" s="5">
        <v>22000</v>
      </c>
      <c r="AI10" s="5">
        <v>22000</v>
      </c>
      <c r="AJ10" s="26">
        <v>22000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 s="28"/>
    </row>
    <row r="11" spans="1:522" s="4" customFormat="1" x14ac:dyDescent="0.2">
      <c r="A11" s="4" t="s">
        <v>5</v>
      </c>
      <c r="C11" s="5">
        <v>21600</v>
      </c>
      <c r="D11" s="5">
        <v>21600</v>
      </c>
      <c r="E11" s="5">
        <v>21600</v>
      </c>
      <c r="F11" s="5">
        <v>21600</v>
      </c>
      <c r="G11" s="5">
        <v>21600</v>
      </c>
      <c r="H11" s="5">
        <v>21600</v>
      </c>
      <c r="I11" s="5">
        <v>21600</v>
      </c>
      <c r="J11" s="5">
        <v>21600</v>
      </c>
      <c r="K11" s="5">
        <v>21600</v>
      </c>
      <c r="L11" s="5">
        <v>21600</v>
      </c>
      <c r="M11" s="5">
        <v>21600</v>
      </c>
      <c r="N11" s="5">
        <v>21600</v>
      </c>
      <c r="O11" s="5">
        <v>21600</v>
      </c>
      <c r="P11" s="5">
        <v>21600</v>
      </c>
      <c r="Q11" s="5">
        <v>21600</v>
      </c>
      <c r="R11" s="5">
        <v>21600</v>
      </c>
      <c r="S11" s="5">
        <v>21600</v>
      </c>
      <c r="T11" s="5">
        <v>21600</v>
      </c>
      <c r="U11" s="5">
        <v>21600</v>
      </c>
      <c r="V11" s="5">
        <v>21600</v>
      </c>
      <c r="W11" s="5">
        <v>21600</v>
      </c>
      <c r="X11" s="5">
        <v>21600</v>
      </c>
      <c r="Y11" s="5">
        <v>21600</v>
      </c>
      <c r="Z11" s="5">
        <v>21600</v>
      </c>
      <c r="AA11" s="5">
        <v>21600</v>
      </c>
      <c r="AB11" s="5">
        <v>21600</v>
      </c>
      <c r="AC11" s="5">
        <v>21600</v>
      </c>
      <c r="AD11" s="5">
        <v>21600</v>
      </c>
      <c r="AE11" s="5">
        <v>21600</v>
      </c>
      <c r="AF11" s="5">
        <v>21600</v>
      </c>
      <c r="AG11" s="5">
        <v>21600</v>
      </c>
      <c r="AH11" s="5">
        <v>21600</v>
      </c>
      <c r="AI11" s="5">
        <v>21600</v>
      </c>
      <c r="AJ11" s="26">
        <v>21600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 s="28"/>
    </row>
    <row r="12" spans="1:522" s="4" customFormat="1" x14ac:dyDescent="0.2">
      <c r="A12" s="4" t="s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/>
      <c r="L12" s="5"/>
      <c r="M12" s="5"/>
      <c r="N12" s="5"/>
      <c r="O12" s="5"/>
      <c r="P12" s="5">
        <f>5086*12</f>
        <v>61032</v>
      </c>
      <c r="Q12" s="5">
        <f t="shared" ref="Q12:AJ12" si="0">P12*1.02</f>
        <v>62252.639999999999</v>
      </c>
      <c r="R12" s="5">
        <f t="shared" si="0"/>
        <v>63497.692799999997</v>
      </c>
      <c r="S12" s="5">
        <f t="shared" si="0"/>
        <v>64767.646655999997</v>
      </c>
      <c r="T12" s="5">
        <f t="shared" si="0"/>
        <v>66062.999589119994</v>
      </c>
      <c r="U12" s="5">
        <f t="shared" si="0"/>
        <v>67384.259580902391</v>
      </c>
      <c r="V12" s="5">
        <f t="shared" si="0"/>
        <v>68731.944772520437</v>
      </c>
      <c r="W12" s="5">
        <f t="shared" si="0"/>
        <v>70106.583667970845</v>
      </c>
      <c r="X12" s="5">
        <f t="shared" si="0"/>
        <v>71508.715341330259</v>
      </c>
      <c r="Y12" s="5">
        <f t="shared" si="0"/>
        <v>72938.889648156866</v>
      </c>
      <c r="Z12" s="5">
        <f t="shared" si="0"/>
        <v>74397.667441120007</v>
      </c>
      <c r="AA12" s="5">
        <f t="shared" si="0"/>
        <v>75885.620789942404</v>
      </c>
      <c r="AB12" s="5">
        <f t="shared" si="0"/>
        <v>77403.333205741248</v>
      </c>
      <c r="AC12" s="5">
        <f t="shared" si="0"/>
        <v>78951.399869856075</v>
      </c>
      <c r="AD12" s="5">
        <f t="shared" si="0"/>
        <v>80530.427867253195</v>
      </c>
      <c r="AE12" s="5">
        <f t="shared" si="0"/>
        <v>82141.036424598264</v>
      </c>
      <c r="AF12" s="5">
        <f t="shared" si="0"/>
        <v>83783.857153090226</v>
      </c>
      <c r="AG12" s="5">
        <f t="shared" si="0"/>
        <v>85459.534296152036</v>
      </c>
      <c r="AH12" s="5">
        <f t="shared" si="0"/>
        <v>87168.724982075073</v>
      </c>
      <c r="AI12" s="5">
        <f t="shared" si="0"/>
        <v>88912.099481716577</v>
      </c>
      <c r="AJ12" s="5">
        <f t="shared" si="0"/>
        <v>90690.341471350912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28"/>
    </row>
    <row r="13" spans="1:522" s="7" customFormat="1" x14ac:dyDescent="0.2">
      <c r="A13" s="8" t="s">
        <v>7</v>
      </c>
      <c r="B13" s="8"/>
      <c r="C13" s="9"/>
      <c r="D13" s="9"/>
      <c r="E13" s="9"/>
      <c r="F13" s="9"/>
      <c r="G13" s="9"/>
      <c r="H13" s="9"/>
      <c r="I13" s="9"/>
      <c r="J13" s="9"/>
      <c r="K13" s="9">
        <f>J31/VLOOKUP(K6,RMD!$B$4:$C$34,2,TRUE)</f>
        <v>32520.325203252032</v>
      </c>
      <c r="L13" s="9">
        <f>K31/VLOOKUP(L6,RMD!$B$4:$C$34,2,TRUE)</f>
        <v>34408.425096909195</v>
      </c>
      <c r="M13" s="9">
        <f>L31/VLOOKUP(M6,RMD!$B$4:$C$34,2,TRUE)</f>
        <v>36244.542802953874</v>
      </c>
      <c r="N13" s="9">
        <f>M31/VLOOKUP(N6,RMD!$B$4:$C$34,2,TRUE)</f>
        <v>38343.431327088569</v>
      </c>
      <c r="O13" s="9">
        <f>N31/VLOOKUP(O6,RMD!$B$4:$C$34,2,TRUE)</f>
        <v>40560.444891972358</v>
      </c>
      <c r="P13" s="9">
        <f>O31/VLOOKUP(P6,RMD!$B$4:$C$34,2,TRUE)</f>
        <v>42901.706215934733</v>
      </c>
      <c r="Q13" s="9">
        <f>P31/VLOOKUP(Q6,RMD!$B$4:$C$34,2,TRUE)</f>
        <v>45139.671509260814</v>
      </c>
      <c r="R13" s="9">
        <f>Q31/VLOOKUP(R6,RMD!$B$4:$C$34,2,TRUE)</f>
        <v>47735.812616604249</v>
      </c>
      <c r="S13" s="9">
        <f>R31/VLOOKUP(S6,RMD!$B$4:$C$34,2,TRUE)</f>
        <v>50190.026711582206</v>
      </c>
      <c r="T13" s="9">
        <f>S31/VLOOKUP(T6,RMD!$B$4:$C$34,2,TRUE)</f>
        <v>53064.003241138285</v>
      </c>
      <c r="U13" s="9">
        <f>T31/VLOOKUP(U6,RMD!$B$4:$C$34,2,TRUE)</f>
        <v>55743.735404815772</v>
      </c>
      <c r="V13" s="9">
        <f>U31/VLOOKUP(V6,RMD!$B$4:$C$34,2,TRUE)</f>
        <v>58530.92217505657</v>
      </c>
      <c r="W13" s="9">
        <f>V31/VLOOKUP(W6,RMD!$B$4:$C$34,2,TRUE)</f>
        <v>61424.95110482326</v>
      </c>
      <c r="X13" s="9">
        <f>W31/VLOOKUP(X6,RMD!$B$4:$C$34,2,TRUE)</f>
        <v>63953.686318189713</v>
      </c>
      <c r="Y13" s="9">
        <f>X31/VLOOKUP(Y6,RMD!$B$4:$C$34,2,TRUE)</f>
        <v>67037.344681748931</v>
      </c>
      <c r="Z13" s="9">
        <f>Y31/VLOOKUP(Z6,RMD!$B$4:$C$34,2,TRUE)</f>
        <v>69641.910368564437</v>
      </c>
      <c r="AA13" s="9">
        <f>Z31/VLOOKUP(AA6,RMD!$B$4:$C$34,2,TRUE)</f>
        <v>72258.023871105295</v>
      </c>
      <c r="AB13" s="9">
        <f>AA31/VLOOKUP(AB6,RMD!$B$4:$C$34,2,TRUE)</f>
        <v>74867.341399784098</v>
      </c>
      <c r="AC13" s="9">
        <f>AB31/VLOOKUP(AC6,RMD!$B$4:$C$34,2,TRUE)</f>
        <v>77446.92900444995</v>
      </c>
      <c r="AD13" s="9">
        <f>AC31/VLOOKUP(AD6,RMD!$B$4:$C$34,2,TRUE)</f>
        <v>79126.30451759907</v>
      </c>
      <c r="AE13" s="9">
        <f>AD31/VLOOKUP(AE6,RMD!$B$4:$C$34,2,TRUE)</f>
        <v>80637.705839845352</v>
      </c>
      <c r="AF13" s="9">
        <f>AE31/VLOOKUP(AF6,RMD!$B$4:$C$34,2,TRUE)</f>
        <v>80964.096553959011</v>
      </c>
      <c r="AG13" s="9">
        <f>AF31/VLOOKUP(AG6,RMD!$B$4:$C$34,2,TRUE)</f>
        <v>82043.617841345142</v>
      </c>
      <c r="AH13" s="9">
        <f>AG31/VLOOKUP(AH6,RMD!$B$4:$C$34,2,TRUE)</f>
        <v>81683.974585054311</v>
      </c>
      <c r="AI13" s="9">
        <f>AH31/VLOOKUP(AI6,RMD!$B$4:$C$34,2,TRUE)</f>
        <v>80939.208934425871</v>
      </c>
      <c r="AJ13" s="9">
        <f>AI31/VLOOKUP(AJ6,RMD!$B$4:$C$34,2,TRUE)</f>
        <v>78511.032666393105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 s="29"/>
    </row>
    <row r="14" spans="1:522" s="8" customFormat="1" x14ac:dyDescent="0.2">
      <c r="A14" s="8" t="s">
        <v>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>
        <f>R34/VLOOKUP(S4,RMD!$B$4:$C$34,2,TRUE)</f>
        <v>95248.180498332062</v>
      </c>
      <c r="T14" s="9">
        <f>S34/VLOOKUP(T4,RMD!$B$4:$C$34,2,TRUE)</f>
        <v>101187.18469411042</v>
      </c>
      <c r="U14" s="9">
        <f>T34/VLOOKUP(U4,RMD!$B$4:$C$34,2,TRUE)</f>
        <v>107069.20396697943</v>
      </c>
      <c r="V14" s="9">
        <f>U34/VLOOKUP(V4,RMD!$B$4:$C$34,2,TRUE)</f>
        <v>113285.5425601678</v>
      </c>
      <c r="W14" s="9">
        <f>V34/VLOOKUP(W4,RMD!$B$4:$C$34,2,TRUE)</f>
        <v>119330.73614132611</v>
      </c>
      <c r="X14" s="9">
        <f>W34/VLOOKUP(X4,RMD!$B$4:$C$34,2,TRUE)</f>
        <v>126241.07058878291</v>
      </c>
      <c r="Y14" s="9">
        <f>X34/VLOOKUP(Y4,RMD!$B$4:$C$34,2,TRUE)</f>
        <v>133540.31732424808</v>
      </c>
      <c r="Z14" s="9">
        <f>Y34/VLOOKUP(Z4,RMD!$B$4:$C$34,2,TRUE)</f>
        <v>141248.6346509844</v>
      </c>
      <c r="AA14" s="9">
        <f>Z34/VLOOKUP(AA4,RMD!$B$4:$C$34,2,TRUE)</f>
        <v>148616.86239669556</v>
      </c>
      <c r="AB14" s="9">
        <f>AA34/VLOOKUP(AB4,RMD!$B$4:$C$34,2,TRUE)</f>
        <v>157164.34032048387</v>
      </c>
      <c r="AC14" s="9">
        <f>AB34/VLOOKUP(AC4,RMD!$B$4:$C$34,2,TRUE)</f>
        <v>165244.54086803421</v>
      </c>
      <c r="AD14" s="9">
        <f>AC34/VLOOKUP(AD4,RMD!$B$4:$C$34,2,TRUE)</f>
        <v>174706.75802964429</v>
      </c>
      <c r="AE14" s="9">
        <f>AD34/VLOOKUP(AE4,RMD!$B$4:$C$34,2,TRUE)</f>
        <v>183529.44931014132</v>
      </c>
      <c r="AF14" s="9">
        <f>AE34/VLOOKUP(AF4,RMD!$B$4:$C$34,2,TRUE)</f>
        <v>192705.92177564843</v>
      </c>
      <c r="AG14" s="9">
        <f>AF34/VLOOKUP(AG4,RMD!$B$4:$C$34,2,TRUE)</f>
        <v>202234.15901899993</v>
      </c>
      <c r="AH14" s="9">
        <f>AG34/VLOOKUP(AH4,RMD!$B$4:$C$34,2,TRUE)</f>
        <v>210559.71125890623</v>
      </c>
      <c r="AI14" s="9">
        <f>AH34/VLOOKUP(AI4,RMD!$B$4:$C$34,2,TRUE)</f>
        <v>220712.2802823977</v>
      </c>
      <c r="AJ14" s="9">
        <f>AI34/VLOOKUP(AJ4,RMD!$B$4:$C$34,2,TRUE)</f>
        <v>229287.49510648433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30"/>
    </row>
    <row r="15" spans="1:522" s="8" customFormat="1" x14ac:dyDescent="0.2">
      <c r="A15" s="8" t="s">
        <v>8</v>
      </c>
      <c r="C15" s="9"/>
      <c r="D15" s="9"/>
      <c r="E15" s="9"/>
      <c r="F15" s="9"/>
      <c r="G15" s="9"/>
      <c r="H15" s="9"/>
      <c r="I15" s="9"/>
      <c r="J15" s="9"/>
      <c r="K15" s="9"/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f>R32/VLOOKUP(S4,RMD!$B$4:$C$34,2,TRUE)</f>
        <v>61648.840618645787</v>
      </c>
      <c r="T15" s="9">
        <f>S32/VLOOKUP(T4,RMD!$B$4:$C$34,2,TRUE)</f>
        <v>65492.82715133782</v>
      </c>
      <c r="U15" s="9">
        <f>T32/VLOOKUP(U4,RMD!$B$4:$C$34,2,TRUE)</f>
        <v>69299.930518265188</v>
      </c>
      <c r="V15" s="9">
        <f>U32/VLOOKUP(V4,RMD!$B$4:$C$34,2,TRUE)</f>
        <v>73323.420155106243</v>
      </c>
      <c r="W15" s="9">
        <f>V32/VLOOKUP(W4,RMD!$B$4:$C$34,2,TRUE)</f>
        <v>77236.137160762999</v>
      </c>
      <c r="X15" s="9">
        <f>W32/VLOOKUP(X4,RMD!$B$4:$C$34,2,TRUE)</f>
        <v>81708.811649072653</v>
      </c>
      <c r="Y15" s="9">
        <f>X32/VLOOKUP(Y4,RMD!$B$4:$C$34,2,TRUE)</f>
        <v>86433.207393710967</v>
      </c>
      <c r="Z15" s="9">
        <f>Y32/VLOOKUP(Z4,RMD!$B$4:$C$34,2,TRUE)</f>
        <v>91422.37174128856</v>
      </c>
      <c r="AA15" s="9">
        <f>Z32/VLOOKUP(AA4,RMD!$B$4:$C$34,2,TRUE)</f>
        <v>96191.415050679498</v>
      </c>
      <c r="AB15" s="9">
        <f>AA32/VLOOKUP(AB4,RMD!$B$4:$C$34,2,TRUE)</f>
        <v>101723.72130008072</v>
      </c>
      <c r="AC15" s="9">
        <f>AB32/VLOOKUP(AC4,RMD!$B$4:$C$34,2,TRUE)</f>
        <v>106953.58493754252</v>
      </c>
      <c r="AD15" s="9">
        <f>AC32/VLOOKUP(AD4,RMD!$B$4:$C$34,2,TRUE)</f>
        <v>113077.95093218036</v>
      </c>
      <c r="AE15" s="9">
        <f>AD32/VLOOKUP(AE4,RMD!$B$4:$C$34,2,TRUE)</f>
        <v>118788.38745425548</v>
      </c>
      <c r="AF15" s="9">
        <f>AE32/VLOOKUP(AF4,RMD!$B$4:$C$34,2,TRUE)</f>
        <v>124727.80682696827</v>
      </c>
      <c r="AG15" s="9">
        <f>AF32/VLOOKUP(AG4,RMD!$B$4:$C$34,2,TRUE)</f>
        <v>130894.90394230169</v>
      </c>
      <c r="AH15" s="9">
        <f>AG32/VLOOKUP(AH4,RMD!$B$4:$C$34,2,TRUE)</f>
        <v>136283.5700608023</v>
      </c>
      <c r="AI15" s="9">
        <f>AH32/VLOOKUP(AI4,RMD!$B$4:$C$34,2,TRUE)</f>
        <v>142854.76235365649</v>
      </c>
      <c r="AJ15" s="9">
        <f>AI32/VLOOKUP(AJ4,RMD!$B$4:$C$34,2,TRUE)</f>
        <v>148405.02115329858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30"/>
    </row>
    <row r="16" spans="1:522" s="8" customFormat="1" x14ac:dyDescent="0.2">
      <c r="A16" s="8" t="s">
        <v>9</v>
      </c>
      <c r="C16" s="9"/>
      <c r="D16" s="9"/>
      <c r="E16" s="9"/>
      <c r="F16" s="9"/>
      <c r="G16" s="9"/>
      <c r="H16" s="9"/>
      <c r="I16" s="9"/>
      <c r="J16" s="9"/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30"/>
    </row>
    <row r="17" spans="1:522" s="8" customFormat="1" x14ac:dyDescent="0.2">
      <c r="A17" s="8" t="s">
        <v>51</v>
      </c>
      <c r="C17" s="9"/>
      <c r="D17" s="9"/>
      <c r="E17" s="9"/>
      <c r="F17" s="9"/>
      <c r="G17" s="9"/>
      <c r="H17" s="9"/>
      <c r="I17" s="9"/>
      <c r="J17" s="9"/>
      <c r="K17" s="9">
        <f t="shared" ref="K17:Z17" si="1">IF(K24-(K21-K22)&gt;0,K24-(K21-K22),0)</f>
        <v>140803.22585365854</v>
      </c>
      <c r="L17" s="9">
        <f t="shared" si="1"/>
        <v>149193.79393022537</v>
      </c>
      <c r="M17" s="9">
        <f t="shared" si="1"/>
        <v>157914.28918187323</v>
      </c>
      <c r="N17" s="9">
        <f t="shared" si="1"/>
        <v>166746.86444449626</v>
      </c>
      <c r="O17" s="9">
        <f t="shared" si="1"/>
        <v>175804.70292777996</v>
      </c>
      <c r="P17" s="9">
        <f t="shared" si="1"/>
        <v>141149.66567202704</v>
      </c>
      <c r="Q17" s="9">
        <f t="shared" si="1"/>
        <v>149962.39208525725</v>
      </c>
      <c r="R17" s="9">
        <f t="shared" si="1"/>
        <v>158841.11247145984</v>
      </c>
      <c r="S17" s="9">
        <f t="shared" si="1"/>
        <v>58397.55031178327</v>
      </c>
      <c r="T17" s="9">
        <f t="shared" si="1"/>
        <v>60981.934471510001</v>
      </c>
      <c r="U17" s="9">
        <f t="shared" si="1"/>
        <v>64120.392657165765</v>
      </c>
      <c r="V17" s="9">
        <f t="shared" si="1"/>
        <v>54906.648895872058</v>
      </c>
      <c r="W17" s="9">
        <f t="shared" si="1"/>
        <v>46086.170280412072</v>
      </c>
      <c r="X17" s="9">
        <f t="shared" si="1"/>
        <v>36591.567270466825</v>
      </c>
      <c r="Y17" s="9">
        <f t="shared" si="1"/>
        <v>26338.332677163417</v>
      </c>
      <c r="Z17" s="9">
        <f t="shared" si="1"/>
        <v>15946.621081626101</v>
      </c>
      <c r="AA17" s="9">
        <f>IF(AA24-(AA21-AA22)&gt;0,AA24-(AA21-AA22),0)</f>
        <v>5876.9915796176065</v>
      </c>
      <c r="AB17" s="9">
        <f>IF(AB24-(AB21-AB22)&gt;0,AB24-(AB21-AB22),0)</f>
        <v>0</v>
      </c>
      <c r="AC17" s="9">
        <f t="shared" ref="AC17:AJ17" si="2">IF(AC24-(AC21-AC22)&gt;0,AC24-(AC21-AC22),0)</f>
        <v>0</v>
      </c>
      <c r="AD17" s="9">
        <f t="shared" si="2"/>
        <v>0</v>
      </c>
      <c r="AE17" s="9">
        <f t="shared" si="2"/>
        <v>0</v>
      </c>
      <c r="AF17" s="9">
        <f t="shared" si="2"/>
        <v>0</v>
      </c>
      <c r="AG17" s="9">
        <f t="shared" si="2"/>
        <v>0</v>
      </c>
      <c r="AH17" s="9">
        <f t="shared" si="2"/>
        <v>0</v>
      </c>
      <c r="AI17" s="9">
        <f t="shared" si="2"/>
        <v>0</v>
      </c>
      <c r="AJ17" s="9">
        <f t="shared" si="2"/>
        <v>0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 s="30"/>
    </row>
    <row r="18" spans="1:522" x14ac:dyDescent="0.2">
      <c r="Z18">
        <f>IF(Z24-(Z21-Z22)&gt;0,Z24-(Z21-Z22),0)</f>
        <v>15946.621081626101</v>
      </c>
      <c r="AA18">
        <f>IF(AA24-(AA21-AA22)&gt;0,AA24-(AA21-AA22),0)</f>
        <v>5876.9915796176065</v>
      </c>
      <c r="AB18">
        <f>IF(AB24-(AB21-AB22)&gt;0,AB24-(AB21-AB22),0)</f>
        <v>0</v>
      </c>
    </row>
    <row r="19" spans="1:522" s="10" customFormat="1" ht="17" customHeight="1" x14ac:dyDescent="0.2">
      <c r="A19" s="10" t="s">
        <v>10</v>
      </c>
      <c r="C19" s="13">
        <f t="shared" ref="C19:S19" si="3">SUM(C9:C17)</f>
        <v>178286</v>
      </c>
      <c r="D19" s="13">
        <f t="shared" si="3"/>
        <v>178286</v>
      </c>
      <c r="E19" s="13">
        <f t="shared" si="3"/>
        <v>178286</v>
      </c>
      <c r="F19" s="13">
        <f t="shared" si="3"/>
        <v>178286</v>
      </c>
      <c r="G19" s="13">
        <f t="shared" si="3"/>
        <v>178286</v>
      </c>
      <c r="H19" s="13">
        <f t="shared" si="3"/>
        <v>178286</v>
      </c>
      <c r="I19" s="13">
        <f t="shared" si="3"/>
        <v>178286</v>
      </c>
      <c r="J19" s="13">
        <f t="shared" si="3"/>
        <v>178286</v>
      </c>
      <c r="K19" s="13">
        <f t="shared" si="3"/>
        <v>351609.55105691054</v>
      </c>
      <c r="L19" s="13">
        <f t="shared" si="3"/>
        <v>361888.21902713459</v>
      </c>
      <c r="M19" s="13">
        <f t="shared" si="3"/>
        <v>372444.83198482706</v>
      </c>
      <c r="N19" s="13">
        <f t="shared" si="3"/>
        <v>383376.29577158485</v>
      </c>
      <c r="O19" s="13">
        <f t="shared" si="3"/>
        <v>394651.14781975234</v>
      </c>
      <c r="P19" s="13">
        <f t="shared" si="3"/>
        <v>423369.37188796175</v>
      </c>
      <c r="Q19" s="13">
        <f t="shared" si="3"/>
        <v>435640.70359451813</v>
      </c>
      <c r="R19" s="13">
        <f t="shared" si="3"/>
        <v>448360.61788806407</v>
      </c>
      <c r="S19" s="13">
        <f t="shared" si="3"/>
        <v>508538.24479634332</v>
      </c>
      <c r="T19" s="13">
        <f t="shared" ref="T19:V19" si="4">SUM(T9:T17)</f>
        <v>525074.94914721651</v>
      </c>
      <c r="U19" s="13">
        <f t="shared" si="4"/>
        <v>541903.52212812845</v>
      </c>
      <c r="V19" s="13">
        <f t="shared" si="4"/>
        <v>547064.47855872312</v>
      </c>
      <c r="W19" s="13">
        <f t="shared" ref="W19:AC19" si="5">SUM(W9:W17)</f>
        <v>552470.57835529535</v>
      </c>
      <c r="X19" s="13">
        <f t="shared" si="5"/>
        <v>558289.8511678424</v>
      </c>
      <c r="Y19" s="13">
        <f t="shared" si="5"/>
        <v>564574.09172502835</v>
      </c>
      <c r="Z19" s="13">
        <f t="shared" si="5"/>
        <v>570943.20528358361</v>
      </c>
      <c r="AA19" s="13">
        <f t="shared" si="5"/>
        <v>577114.91368804034</v>
      </c>
      <c r="AB19" s="13">
        <f t="shared" si="5"/>
        <v>589444.73622609</v>
      </c>
      <c r="AC19" s="13">
        <f t="shared" si="5"/>
        <v>606882.45467988285</v>
      </c>
      <c r="AD19" s="13">
        <f t="shared" ref="AD19:AJ19" si="6">SUM(AD9:AD17)</f>
        <v>625727.4413466769</v>
      </c>
      <c r="AE19" s="13">
        <f t="shared" si="6"/>
        <v>643382.57902884041</v>
      </c>
      <c r="AF19" s="13">
        <f t="shared" si="6"/>
        <v>660467.68230966595</v>
      </c>
      <c r="AG19" s="13">
        <f t="shared" si="6"/>
        <v>678918.21509879874</v>
      </c>
      <c r="AH19" s="13">
        <f t="shared" si="6"/>
        <v>693981.98088683782</v>
      </c>
      <c r="AI19" s="13">
        <f t="shared" si="6"/>
        <v>711704.35105219658</v>
      </c>
      <c r="AJ19" s="13">
        <f t="shared" si="6"/>
        <v>725179.89039752691</v>
      </c>
      <c r="AK19" s="1"/>
      <c r="AL19" s="51">
        <f>SUM(C19:AK19)</f>
        <v>15479291.904907471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31"/>
    </row>
    <row r="20" spans="1:522" s="20" customFormat="1" x14ac:dyDescent="0.2">
      <c r="A20" s="20" t="s">
        <v>11</v>
      </c>
      <c r="C20" s="21">
        <f t="shared" ref="C20:J20" si="7">C16</f>
        <v>0</v>
      </c>
      <c r="D20" s="21">
        <f t="shared" si="7"/>
        <v>0</v>
      </c>
      <c r="E20" s="21">
        <f t="shared" si="7"/>
        <v>0</v>
      </c>
      <c r="F20" s="21">
        <f t="shared" si="7"/>
        <v>0</v>
      </c>
      <c r="G20" s="21">
        <f t="shared" si="7"/>
        <v>0</v>
      </c>
      <c r="H20" s="21">
        <f t="shared" si="7"/>
        <v>0</v>
      </c>
      <c r="I20" s="21">
        <f t="shared" si="7"/>
        <v>0</v>
      </c>
      <c r="J20" s="21">
        <f t="shared" si="7"/>
        <v>0</v>
      </c>
      <c r="K20" s="21">
        <f t="shared" ref="K20:S20" si="8">K17+K16</f>
        <v>140803.22585365854</v>
      </c>
      <c r="L20" s="21">
        <f t="shared" si="8"/>
        <v>149193.79393022537</v>
      </c>
      <c r="M20" s="21">
        <f t="shared" si="8"/>
        <v>157914.28918187323</v>
      </c>
      <c r="N20" s="21">
        <f t="shared" si="8"/>
        <v>166746.86444449626</v>
      </c>
      <c r="O20" s="21">
        <f t="shared" si="8"/>
        <v>175804.70292777996</v>
      </c>
      <c r="P20" s="21">
        <f t="shared" si="8"/>
        <v>141149.66567202704</v>
      </c>
      <c r="Q20" s="21">
        <f t="shared" si="8"/>
        <v>149962.39208525725</v>
      </c>
      <c r="R20" s="21">
        <f t="shared" si="8"/>
        <v>158841.11247145984</v>
      </c>
      <c r="S20" s="21">
        <f t="shared" si="8"/>
        <v>58397.55031178327</v>
      </c>
      <c r="T20" s="21">
        <f t="shared" ref="T20:V20" si="9">T17+T16</f>
        <v>60981.934471510001</v>
      </c>
      <c r="U20" s="21">
        <f t="shared" si="9"/>
        <v>64120.392657165765</v>
      </c>
      <c r="V20" s="21">
        <f t="shared" si="9"/>
        <v>54906.648895872058</v>
      </c>
      <c r="W20" s="21">
        <f t="shared" ref="W20:AC20" si="10">W17+W16</f>
        <v>46086.170280412072</v>
      </c>
      <c r="X20" s="21">
        <f t="shared" si="10"/>
        <v>36591.567270466825</v>
      </c>
      <c r="Y20" s="21">
        <f t="shared" si="10"/>
        <v>26338.332677163417</v>
      </c>
      <c r="Z20" s="21">
        <f t="shared" si="10"/>
        <v>15946.621081626101</v>
      </c>
      <c r="AA20" s="21">
        <f t="shared" si="10"/>
        <v>5876.9915796176065</v>
      </c>
      <c r="AB20" s="21">
        <f t="shared" si="10"/>
        <v>0</v>
      </c>
      <c r="AC20" s="21">
        <f t="shared" si="10"/>
        <v>0</v>
      </c>
      <c r="AD20" s="21">
        <f t="shared" ref="AD20:AJ20" si="11">AD17+AD16</f>
        <v>0</v>
      </c>
      <c r="AE20" s="21">
        <f t="shared" si="11"/>
        <v>0</v>
      </c>
      <c r="AF20" s="21">
        <f t="shared" si="11"/>
        <v>0</v>
      </c>
      <c r="AG20" s="21">
        <f t="shared" si="11"/>
        <v>0</v>
      </c>
      <c r="AH20" s="21">
        <f t="shared" si="11"/>
        <v>0</v>
      </c>
      <c r="AI20" s="21">
        <f t="shared" si="11"/>
        <v>0</v>
      </c>
      <c r="AJ20" s="21">
        <f t="shared" si="11"/>
        <v>0</v>
      </c>
      <c r="AK20"/>
      <c r="AL20" s="51">
        <f>SUM(C20:AK20)</f>
        <v>1609662.255792395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 s="32"/>
    </row>
    <row r="21" spans="1:522" s="20" customFormat="1" x14ac:dyDescent="0.2">
      <c r="A21" s="20" t="s">
        <v>12</v>
      </c>
      <c r="C21" s="21">
        <f>SUM(C9:C15)</f>
        <v>178286</v>
      </c>
      <c r="D21" s="21">
        <f t="shared" ref="D21:I21" si="12">SUM(D9:D17)</f>
        <v>178286</v>
      </c>
      <c r="E21" s="21">
        <f t="shared" si="12"/>
        <v>178286</v>
      </c>
      <c r="F21" s="21">
        <f t="shared" si="12"/>
        <v>178286</v>
      </c>
      <c r="G21" s="21">
        <f t="shared" si="12"/>
        <v>178286</v>
      </c>
      <c r="H21" s="21">
        <f t="shared" si="12"/>
        <v>178286</v>
      </c>
      <c r="I21" s="21">
        <f t="shared" si="12"/>
        <v>178286</v>
      </c>
      <c r="J21" s="21">
        <f t="shared" ref="J21:R21" si="13">SUM(J9:J14)</f>
        <v>178286</v>
      </c>
      <c r="K21" s="21">
        <f t="shared" si="13"/>
        <v>210806.32520325202</v>
      </c>
      <c r="L21" s="21">
        <f t="shared" si="13"/>
        <v>212694.4250969092</v>
      </c>
      <c r="M21" s="21">
        <f t="shared" si="13"/>
        <v>214530.54280295386</v>
      </c>
      <c r="N21" s="21">
        <f t="shared" si="13"/>
        <v>216629.43132708856</v>
      </c>
      <c r="O21" s="21">
        <f t="shared" si="13"/>
        <v>218846.44489197235</v>
      </c>
      <c r="P21" s="21">
        <f t="shared" si="13"/>
        <v>282219.70621593471</v>
      </c>
      <c r="Q21" s="21">
        <f t="shared" si="13"/>
        <v>285678.31150926085</v>
      </c>
      <c r="R21" s="21">
        <f t="shared" si="13"/>
        <v>289519.50541660422</v>
      </c>
      <c r="S21" s="21">
        <f>SUM(S9:S15)</f>
        <v>450140.69448456005</v>
      </c>
      <c r="T21" s="21">
        <f t="shared" ref="T21:AJ21" si="14">SUM(T9:T15)</f>
        <v>464093.01467570651</v>
      </c>
      <c r="U21" s="21">
        <f t="shared" si="14"/>
        <v>477783.12947096274</v>
      </c>
      <c r="V21" s="21">
        <f t="shared" si="14"/>
        <v>492157.82966285106</v>
      </c>
      <c r="W21" s="21">
        <f t="shared" si="14"/>
        <v>506384.40807488328</v>
      </c>
      <c r="X21" s="21">
        <f t="shared" si="14"/>
        <v>521698.28389737557</v>
      </c>
      <c r="Y21" s="21">
        <f t="shared" si="14"/>
        <v>538235.75904786494</v>
      </c>
      <c r="Z21" s="21">
        <f t="shared" si="14"/>
        <v>554996.58420195745</v>
      </c>
      <c r="AA21" s="21">
        <f t="shared" si="14"/>
        <v>571237.92210842273</v>
      </c>
      <c r="AB21" s="21">
        <f t="shared" si="14"/>
        <v>589444.73622609</v>
      </c>
      <c r="AC21" s="21">
        <f t="shared" si="14"/>
        <v>606882.45467988285</v>
      </c>
      <c r="AD21" s="21">
        <f t="shared" si="14"/>
        <v>625727.4413466769</v>
      </c>
      <c r="AE21" s="21">
        <f t="shared" si="14"/>
        <v>643382.57902884041</v>
      </c>
      <c r="AF21" s="21">
        <f t="shared" si="14"/>
        <v>660467.68230966595</v>
      </c>
      <c r="AG21" s="21">
        <f t="shared" si="14"/>
        <v>678918.21509879874</v>
      </c>
      <c r="AH21" s="21">
        <f t="shared" si="14"/>
        <v>693981.98088683782</v>
      </c>
      <c r="AI21" s="21">
        <f t="shared" si="14"/>
        <v>711704.35105219658</v>
      </c>
      <c r="AJ21" s="21">
        <f t="shared" si="14"/>
        <v>725179.89039752691</v>
      </c>
      <c r="AK21"/>
      <c r="AL21" s="51">
        <f>SUM(C21:AK21)</f>
        <v>13869629.649115076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 s="32"/>
    </row>
    <row r="22" spans="1:522" s="24" customFormat="1" x14ac:dyDescent="0.2">
      <c r="A22" s="52" t="s">
        <v>15</v>
      </c>
      <c r="B22" s="52"/>
      <c r="C22" s="53">
        <f>C40+C43</f>
        <v>26077.43</v>
      </c>
      <c r="D22" s="53">
        <f t="shared" ref="D22:K22" si="15">D40+D43</f>
        <v>26077.43</v>
      </c>
      <c r="E22" s="53">
        <f t="shared" si="15"/>
        <v>26077.43</v>
      </c>
      <c r="F22" s="53">
        <f t="shared" si="15"/>
        <v>26077.43</v>
      </c>
      <c r="G22" s="53">
        <f t="shared" si="15"/>
        <v>26077.43</v>
      </c>
      <c r="H22" s="53">
        <f t="shared" si="15"/>
        <v>26743.86</v>
      </c>
      <c r="I22" s="53">
        <f t="shared" si="15"/>
        <v>26743.86</v>
      </c>
      <c r="J22" s="53">
        <f t="shared" si="15"/>
        <v>17555.36</v>
      </c>
      <c r="K22" s="53">
        <f t="shared" si="15"/>
        <v>26609.551056910568</v>
      </c>
      <c r="L22" s="53">
        <f t="shared" ref="L22:S22" si="16">L40+L43</f>
        <v>27138.219027134575</v>
      </c>
      <c r="M22" s="53">
        <f t="shared" ref="M22" si="17">M40+M43</f>
        <v>27652.331984827084</v>
      </c>
      <c r="N22" s="53">
        <f t="shared" si="16"/>
        <v>28240.020771584797</v>
      </c>
      <c r="O22" s="53">
        <f t="shared" si="16"/>
        <v>28860.784569752257</v>
      </c>
      <c r="P22" s="53">
        <f t="shared" si="16"/>
        <v>46605.297740461727</v>
      </c>
      <c r="Q22" s="53">
        <f t="shared" si="16"/>
        <v>47573.707222593046</v>
      </c>
      <c r="R22" s="53">
        <f t="shared" si="16"/>
        <v>48651.611624981269</v>
      </c>
      <c r="S22" s="53">
        <f t="shared" si="16"/>
        <v>96837.968345368019</v>
      </c>
      <c r="T22" s="53">
        <f t="shared" ref="T22:V22" si="18">T40+T43</f>
        <v>101023.66440271195</v>
      </c>
      <c r="U22" s="53">
        <f t="shared" si="18"/>
        <v>105130.69884128882</v>
      </c>
      <c r="V22" s="53">
        <f t="shared" si="18"/>
        <v>110291.65527188341</v>
      </c>
      <c r="W22" s="53">
        <f t="shared" ref="W22:AC22" si="19">W40+W43</f>
        <v>115697.75506845565</v>
      </c>
      <c r="X22" s="53">
        <f t="shared" si="19"/>
        <v>121517.02788100271</v>
      </c>
      <c r="Y22" s="53">
        <f t="shared" si="19"/>
        <v>127801.26843818866</v>
      </c>
      <c r="Z22" s="53">
        <f t="shared" si="19"/>
        <v>134170.38199674382</v>
      </c>
      <c r="AA22" s="53">
        <f t="shared" si="19"/>
        <v>140342.09040120064</v>
      </c>
      <c r="AB22" s="53">
        <f t="shared" si="19"/>
        <v>147260.67976591419</v>
      </c>
      <c r="AC22" s="53">
        <f t="shared" si="19"/>
        <v>154379.95641875197</v>
      </c>
      <c r="AD22" s="53">
        <f t="shared" ref="AD22:AJ22" si="20">AD40+AD43</f>
        <v>162106.40095213754</v>
      </c>
      <c r="AE22" s="53">
        <f t="shared" si="20"/>
        <v>169345.00740182455</v>
      </c>
      <c r="AF22" s="53">
        <f t="shared" si="20"/>
        <v>176349.89974696306</v>
      </c>
      <c r="AG22" s="53">
        <f t="shared" si="20"/>
        <v>183914.61819050746</v>
      </c>
      <c r="AH22" s="53">
        <f t="shared" si="20"/>
        <v>190090.7621636035</v>
      </c>
      <c r="AI22" s="53">
        <f t="shared" si="20"/>
        <v>197356.93393140059</v>
      </c>
      <c r="AJ22" s="53">
        <f t="shared" si="20"/>
        <v>202881.90506298601</v>
      </c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34"/>
      <c r="LZ22" s="34"/>
      <c r="MA22" s="34"/>
      <c r="MB22" s="34"/>
      <c r="MC22" s="34"/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4"/>
      <c r="MQ22" s="34"/>
      <c r="MR22" s="34"/>
      <c r="MS22" s="34"/>
      <c r="MT22" s="34"/>
      <c r="MU22" s="34"/>
      <c r="MV22" s="34"/>
      <c r="MW22" s="34"/>
      <c r="MX22" s="34"/>
      <c r="MY22" s="34"/>
      <c r="MZ22" s="34"/>
      <c r="NA22" s="34"/>
      <c r="NB22" s="34"/>
      <c r="NC22" s="34"/>
      <c r="ND22" s="34"/>
      <c r="NE22" s="34"/>
      <c r="NF22" s="34"/>
      <c r="NG22" s="34"/>
      <c r="NH22" s="34"/>
      <c r="NI22" s="34"/>
      <c r="NJ22" s="34"/>
      <c r="NK22" s="34"/>
      <c r="NL22" s="34"/>
      <c r="NM22" s="34"/>
      <c r="NN22" s="34"/>
      <c r="NO22" s="34"/>
      <c r="NP22" s="34"/>
      <c r="NQ22" s="34"/>
      <c r="NR22" s="34"/>
      <c r="NS22" s="34"/>
      <c r="NT22" s="34"/>
      <c r="NU22" s="34"/>
      <c r="NV22" s="34"/>
      <c r="NW22" s="34"/>
      <c r="NX22" s="34"/>
      <c r="NY22" s="34"/>
      <c r="NZ22" s="34"/>
      <c r="OA22" s="34"/>
      <c r="OB22" s="34"/>
      <c r="OC22" s="34"/>
      <c r="OD22" s="34"/>
      <c r="OE22" s="34"/>
      <c r="OF22" s="34"/>
      <c r="OG22" s="34"/>
      <c r="OH22" s="34"/>
      <c r="OI22" s="34"/>
      <c r="OJ22" s="34"/>
      <c r="OK22" s="34"/>
      <c r="OL22" s="34"/>
      <c r="OM22" s="34"/>
      <c r="ON22" s="34"/>
      <c r="OO22" s="34"/>
      <c r="OP22" s="34"/>
      <c r="OQ22" s="34"/>
      <c r="OR22" s="34"/>
      <c r="OS22" s="34"/>
      <c r="OT22" s="34"/>
      <c r="OU22" s="34"/>
      <c r="OV22" s="34"/>
      <c r="OW22" s="34"/>
      <c r="OX22" s="34"/>
      <c r="OY22" s="34"/>
      <c r="OZ22" s="34"/>
      <c r="PA22" s="34"/>
      <c r="PB22" s="34"/>
      <c r="PC22" s="34"/>
      <c r="PD22" s="34"/>
      <c r="PE22" s="34"/>
      <c r="PF22" s="34"/>
      <c r="PG22" s="34"/>
      <c r="PH22" s="34"/>
      <c r="PI22" s="34"/>
      <c r="PJ22" s="34"/>
      <c r="PK22" s="34"/>
      <c r="PL22" s="34"/>
      <c r="PM22" s="34"/>
      <c r="PN22" s="34"/>
      <c r="PO22" s="34"/>
      <c r="PP22" s="34"/>
      <c r="PQ22" s="34"/>
      <c r="PR22" s="34"/>
      <c r="PS22" s="34"/>
      <c r="PT22" s="34"/>
      <c r="PU22" s="34"/>
      <c r="PV22" s="34"/>
      <c r="PW22" s="34"/>
      <c r="PX22" s="34"/>
      <c r="PY22" s="34"/>
      <c r="PZ22" s="34"/>
      <c r="QA22" s="34"/>
      <c r="QB22" s="34"/>
      <c r="QC22" s="34"/>
      <c r="QD22" s="34"/>
      <c r="QE22" s="34"/>
      <c r="QF22" s="34"/>
      <c r="QG22" s="34"/>
      <c r="QH22" s="34"/>
      <c r="QI22" s="34"/>
      <c r="QJ22" s="34"/>
      <c r="QK22" s="34"/>
      <c r="QL22" s="34"/>
      <c r="QM22" s="34"/>
      <c r="QN22" s="34"/>
      <c r="QO22" s="34"/>
      <c r="QP22" s="34"/>
      <c r="QQ22" s="34"/>
      <c r="QR22" s="34"/>
      <c r="QS22" s="34"/>
      <c r="QT22" s="34"/>
      <c r="QU22" s="34"/>
      <c r="QV22" s="34"/>
      <c r="QW22" s="34"/>
      <c r="QX22" s="34"/>
      <c r="QY22" s="34"/>
      <c r="QZ22" s="34"/>
      <c r="RA22" s="34"/>
      <c r="RB22" s="34"/>
      <c r="RC22" s="34"/>
      <c r="RD22" s="34"/>
      <c r="RE22" s="34"/>
      <c r="RF22" s="34"/>
      <c r="RG22" s="34"/>
      <c r="RH22" s="34"/>
      <c r="RI22" s="34"/>
      <c r="RJ22" s="34"/>
      <c r="RK22" s="34"/>
      <c r="RL22" s="34"/>
      <c r="RM22" s="34"/>
      <c r="RN22" s="34"/>
      <c r="RO22" s="34"/>
      <c r="RP22" s="34"/>
      <c r="RQ22" s="34"/>
      <c r="RR22" s="34"/>
      <c r="RS22" s="34"/>
      <c r="RT22" s="34"/>
      <c r="RU22" s="34"/>
      <c r="RV22" s="34"/>
      <c r="RW22" s="34"/>
      <c r="RX22" s="34"/>
      <c r="RY22" s="34"/>
      <c r="RZ22" s="34"/>
      <c r="SA22" s="34"/>
      <c r="SB22" s="34"/>
      <c r="SC22" s="34"/>
      <c r="SD22" s="34"/>
      <c r="SE22" s="34"/>
      <c r="SF22" s="34"/>
      <c r="SG22" s="34"/>
      <c r="SH22" s="34"/>
      <c r="SI22" s="34"/>
      <c r="SJ22" s="34"/>
      <c r="SK22" s="34"/>
      <c r="SL22" s="34"/>
      <c r="SM22" s="34"/>
      <c r="SN22" s="34"/>
      <c r="SO22" s="34"/>
      <c r="SP22" s="34"/>
      <c r="SQ22" s="34"/>
      <c r="SR22" s="34"/>
      <c r="SS22" s="34"/>
      <c r="ST22" s="34"/>
      <c r="SU22" s="34"/>
      <c r="SV22" s="34"/>
      <c r="SW22" s="34"/>
      <c r="SX22" s="34"/>
      <c r="SY22" s="34"/>
      <c r="SZ22" s="34"/>
      <c r="TA22" s="34"/>
      <c r="TB22" s="33"/>
    </row>
    <row r="23" spans="1:522" s="20" customFormat="1" x14ac:dyDescent="0.2">
      <c r="A23" s="20" t="s">
        <v>16</v>
      </c>
      <c r="C23" s="21"/>
      <c r="D23" s="21"/>
      <c r="E23" s="21"/>
      <c r="F23" s="21"/>
      <c r="G23" s="21"/>
      <c r="H23" s="21">
        <f>H21-H22</f>
        <v>151542.14000000001</v>
      </c>
      <c r="I23" s="21">
        <f t="shared" ref="I23:L23" si="21">I21-I22</f>
        <v>151542.14000000001</v>
      </c>
      <c r="J23" s="21">
        <f t="shared" si="21"/>
        <v>160730.64000000001</v>
      </c>
      <c r="K23" s="21">
        <f t="shared" si="21"/>
        <v>184196.77414634146</v>
      </c>
      <c r="L23" s="21">
        <f t="shared" si="21"/>
        <v>185556.20606977463</v>
      </c>
      <c r="M23" s="21">
        <f t="shared" ref="M23" si="22">M21-M22</f>
        <v>186878.21081812677</v>
      </c>
      <c r="N23" s="21">
        <f t="shared" ref="N23" si="23">N21-N22</f>
        <v>188389.41055550377</v>
      </c>
      <c r="O23" s="21">
        <f t="shared" ref="O23" si="24">O21-O22</f>
        <v>189985.66032222009</v>
      </c>
      <c r="P23" s="21">
        <f t="shared" ref="P23" si="25">P21-P22</f>
        <v>235614.408475473</v>
      </c>
      <c r="Q23" s="21">
        <f t="shared" ref="Q23" si="26">Q21-Q22</f>
        <v>238104.6042866678</v>
      </c>
      <c r="R23" s="21">
        <f t="shared" ref="R23" si="27">R21-R22</f>
        <v>240867.89379162295</v>
      </c>
      <c r="S23" s="21">
        <f t="shared" ref="S23" si="28">S21-S22</f>
        <v>353302.726139192</v>
      </c>
      <c r="T23" s="21">
        <f t="shared" ref="T23" si="29">T21-T22</f>
        <v>363069.35027299455</v>
      </c>
      <c r="U23" s="21">
        <f t="shared" ref="U23" si="30">U21-U22</f>
        <v>372652.43062967394</v>
      </c>
      <c r="V23" s="21">
        <f t="shared" ref="V23" si="31">V21-V22</f>
        <v>381866.17439096764</v>
      </c>
      <c r="W23" s="21">
        <f t="shared" ref="W23" si="32">W21-W22</f>
        <v>390686.65300642763</v>
      </c>
      <c r="X23" s="21">
        <f t="shared" ref="X23" si="33">X21-X22</f>
        <v>400181.25601637288</v>
      </c>
      <c r="Y23" s="21">
        <f t="shared" ref="Y23" si="34">Y21-Y22</f>
        <v>410434.49060967629</v>
      </c>
      <c r="Z23" s="21">
        <f t="shared" ref="Z23" si="35">Z21-Z22</f>
        <v>420826.2022052136</v>
      </c>
      <c r="AA23" s="21">
        <f t="shared" ref="AA23" si="36">AA21-AA22</f>
        <v>430895.8317072221</v>
      </c>
      <c r="AB23" s="21">
        <f t="shared" ref="AB23" si="37">AB21-AB22</f>
        <v>442184.05646017578</v>
      </c>
      <c r="AC23" s="21">
        <f t="shared" ref="AC23" si="38">AC21-AC22</f>
        <v>452502.49826113088</v>
      </c>
      <c r="AD23" s="21">
        <f t="shared" ref="AD23" si="39">AD21-AD22</f>
        <v>463621.04039453936</v>
      </c>
      <c r="AE23" s="21">
        <f t="shared" ref="AE23" si="40">AE21-AE22</f>
        <v>474037.57162701583</v>
      </c>
      <c r="AF23" s="21">
        <f t="shared" ref="AF23" si="41">AF21-AF22</f>
        <v>484117.78256270289</v>
      </c>
      <c r="AG23" s="21">
        <f t="shared" ref="AG23" si="42">AG21-AG22</f>
        <v>495003.59690829128</v>
      </c>
      <c r="AH23" s="21">
        <f t="shared" ref="AH23" si="43">AH21-AH22</f>
        <v>503891.21872323431</v>
      </c>
      <c r="AI23" s="21">
        <f t="shared" ref="AI23" si="44">AI21-AI22</f>
        <v>514347.41712079599</v>
      </c>
      <c r="AJ23" s="21">
        <f t="shared" ref="AJ23" si="45">AJ21-AJ22</f>
        <v>522297.98533454089</v>
      </c>
      <c r="AK23"/>
      <c r="AL23" s="51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 s="32"/>
    </row>
    <row r="24" spans="1:522" s="20" customFormat="1" x14ac:dyDescent="0.2">
      <c r="A24" s="20" t="s">
        <v>52</v>
      </c>
      <c r="C24" s="21">
        <f>C21-C22+C20</f>
        <v>152208.57</v>
      </c>
      <c r="D24" s="21">
        <f t="shared" ref="D24:J24" si="46">D21-D22+D20</f>
        <v>152208.57</v>
      </c>
      <c r="E24" s="21">
        <f t="shared" si="46"/>
        <v>152208.57</v>
      </c>
      <c r="F24" s="21">
        <f t="shared" si="46"/>
        <v>152208.57</v>
      </c>
      <c r="G24" s="21">
        <f t="shared" si="46"/>
        <v>152208.57</v>
      </c>
      <c r="H24" s="21">
        <f t="shared" si="46"/>
        <v>151542.14000000001</v>
      </c>
      <c r="I24" s="21">
        <f t="shared" si="46"/>
        <v>151542.14000000001</v>
      </c>
      <c r="J24" s="21">
        <f t="shared" si="46"/>
        <v>160730.64000000001</v>
      </c>
      <c r="K24" s="21">
        <f>Q7</f>
        <v>325000</v>
      </c>
      <c r="L24" s="21">
        <f>K24*$M7</f>
        <v>334750</v>
      </c>
      <c r="M24" s="21">
        <f t="shared" ref="M24:S24" si="47">L24*$M7</f>
        <v>344792.5</v>
      </c>
      <c r="N24" s="21">
        <f t="shared" si="47"/>
        <v>355136.27500000002</v>
      </c>
      <c r="O24" s="21">
        <f t="shared" si="47"/>
        <v>365790.36325000005</v>
      </c>
      <c r="P24" s="21">
        <f t="shared" si="47"/>
        <v>376764.07414750004</v>
      </c>
      <c r="Q24" s="21">
        <f t="shared" si="47"/>
        <v>388066.99637192505</v>
      </c>
      <c r="R24" s="21">
        <f t="shared" si="47"/>
        <v>399709.00626308279</v>
      </c>
      <c r="S24" s="21">
        <f t="shared" si="47"/>
        <v>411700.27645097527</v>
      </c>
      <c r="T24" s="21">
        <f>S24*$M7</f>
        <v>424051.28474450455</v>
      </c>
      <c r="U24" s="21">
        <f>T24*$M7</f>
        <v>436772.8232868397</v>
      </c>
      <c r="V24" s="21">
        <f t="shared" ref="V24:Y24" si="48">U24</f>
        <v>436772.8232868397</v>
      </c>
      <c r="W24" s="21">
        <f t="shared" si="48"/>
        <v>436772.8232868397</v>
      </c>
      <c r="X24" s="21">
        <f t="shared" si="48"/>
        <v>436772.8232868397</v>
      </c>
      <c r="Y24" s="21">
        <f t="shared" si="48"/>
        <v>436772.8232868397</v>
      </c>
      <c r="Z24" s="21">
        <f>Y24</f>
        <v>436772.8232868397</v>
      </c>
      <c r="AA24" s="21">
        <f t="shared" ref="AA24:AJ24" si="49">Z24</f>
        <v>436772.8232868397</v>
      </c>
      <c r="AB24" s="21">
        <f t="shared" si="49"/>
        <v>436772.8232868397</v>
      </c>
      <c r="AC24" s="21">
        <f t="shared" si="49"/>
        <v>436772.8232868397</v>
      </c>
      <c r="AD24" s="21">
        <f t="shared" si="49"/>
        <v>436772.8232868397</v>
      </c>
      <c r="AE24" s="21">
        <f t="shared" si="49"/>
        <v>436772.8232868397</v>
      </c>
      <c r="AF24" s="21">
        <f t="shared" si="49"/>
        <v>436772.8232868397</v>
      </c>
      <c r="AG24" s="21">
        <f t="shared" si="49"/>
        <v>436772.8232868397</v>
      </c>
      <c r="AH24" s="21">
        <f t="shared" si="49"/>
        <v>436772.8232868397</v>
      </c>
      <c r="AI24" s="21">
        <f t="shared" si="49"/>
        <v>436772.8232868397</v>
      </c>
      <c r="AJ24" s="21">
        <f t="shared" si="49"/>
        <v>436772.8232868397</v>
      </c>
      <c r="AK24"/>
      <c r="AL24" s="51">
        <f>SUM(C24:AK24)</f>
        <v>11938983.718817417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 s="32"/>
    </row>
    <row r="25" spans="1:522" s="20" customFormat="1" x14ac:dyDescent="0.2">
      <c r="A25" s="20" t="s">
        <v>53</v>
      </c>
      <c r="C25" s="21"/>
      <c r="D25" s="21"/>
      <c r="E25" s="21"/>
      <c r="F25" s="21"/>
      <c r="G25" s="21"/>
      <c r="H25" s="21"/>
      <c r="I25" s="21"/>
      <c r="J25" s="21"/>
      <c r="K25" s="21">
        <f t="shared" ref="K25:U25" si="50">K20+K21-K22</f>
        <v>325000</v>
      </c>
      <c r="L25" s="21">
        <f t="shared" si="50"/>
        <v>334750</v>
      </c>
      <c r="M25" s="21">
        <f t="shared" si="50"/>
        <v>344792.5</v>
      </c>
      <c r="N25" s="21">
        <f t="shared" si="50"/>
        <v>355136.27500000002</v>
      </c>
      <c r="O25" s="21">
        <f t="shared" si="50"/>
        <v>365790.36325000005</v>
      </c>
      <c r="P25" s="21">
        <f t="shared" si="50"/>
        <v>376764.07414750004</v>
      </c>
      <c r="Q25" s="21">
        <f t="shared" si="50"/>
        <v>388066.99637192511</v>
      </c>
      <c r="R25" s="21">
        <f t="shared" si="50"/>
        <v>399709.00626308279</v>
      </c>
      <c r="S25" s="21">
        <f t="shared" si="50"/>
        <v>411700.27645097533</v>
      </c>
      <c r="T25" s="21">
        <f t="shared" si="50"/>
        <v>424051.28474450455</v>
      </c>
      <c r="U25" s="21">
        <f t="shared" si="50"/>
        <v>436772.82328683964</v>
      </c>
      <c r="V25" s="21">
        <f>U25</f>
        <v>436772.82328683964</v>
      </c>
      <c r="W25" s="21">
        <f t="shared" ref="W25:AJ25" si="51">V25</f>
        <v>436772.82328683964</v>
      </c>
      <c r="X25" s="21">
        <f t="shared" si="51"/>
        <v>436772.82328683964</v>
      </c>
      <c r="Y25" s="21">
        <f t="shared" si="51"/>
        <v>436772.82328683964</v>
      </c>
      <c r="Z25" s="21">
        <f t="shared" si="51"/>
        <v>436772.82328683964</v>
      </c>
      <c r="AA25" s="21">
        <f t="shared" si="51"/>
        <v>436772.82328683964</v>
      </c>
      <c r="AB25" s="21">
        <f t="shared" si="51"/>
        <v>436772.82328683964</v>
      </c>
      <c r="AC25" s="21">
        <f t="shared" si="51"/>
        <v>436772.82328683964</v>
      </c>
      <c r="AD25" s="21">
        <f t="shared" si="51"/>
        <v>436772.82328683964</v>
      </c>
      <c r="AE25" s="21">
        <f t="shared" si="51"/>
        <v>436772.82328683964</v>
      </c>
      <c r="AF25" s="21">
        <f t="shared" si="51"/>
        <v>436772.82328683964</v>
      </c>
      <c r="AG25" s="21">
        <f t="shared" si="51"/>
        <v>436772.82328683964</v>
      </c>
      <c r="AH25" s="21">
        <f t="shared" si="51"/>
        <v>436772.82328683964</v>
      </c>
      <c r="AI25" s="21">
        <f t="shared" si="51"/>
        <v>436772.82328683964</v>
      </c>
      <c r="AJ25" s="21">
        <f t="shared" si="51"/>
        <v>436772.82328683964</v>
      </c>
      <c r="AK25"/>
      <c r="AL25" s="51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 s="32"/>
    </row>
    <row r="26" spans="1:522" s="10" customFormat="1" x14ac:dyDescent="0.2">
      <c r="A26" s="10" t="s">
        <v>32</v>
      </c>
      <c r="C26" s="13">
        <f>C24/12</f>
        <v>12684.047500000001</v>
      </c>
      <c r="D26" s="13">
        <f t="shared" ref="D26:K26" si="52">D24/12</f>
        <v>12684.047500000001</v>
      </c>
      <c r="E26" s="13">
        <f t="shared" si="52"/>
        <v>12684.047500000001</v>
      </c>
      <c r="F26" s="13">
        <f t="shared" si="52"/>
        <v>12684.047500000001</v>
      </c>
      <c r="G26" s="13">
        <f t="shared" si="52"/>
        <v>12684.047500000001</v>
      </c>
      <c r="H26" s="13">
        <f t="shared" si="52"/>
        <v>12628.511666666667</v>
      </c>
      <c r="I26" s="13">
        <f t="shared" si="52"/>
        <v>12628.511666666667</v>
      </c>
      <c r="J26" s="13">
        <f t="shared" si="52"/>
        <v>13394.220000000001</v>
      </c>
      <c r="K26" s="13">
        <f t="shared" si="52"/>
        <v>27083.333333333332</v>
      </c>
      <c r="L26" s="13">
        <f t="shared" ref="L26:S26" si="53">L24/12</f>
        <v>27895.833333333332</v>
      </c>
      <c r="M26" s="13">
        <f t="shared" ref="M26" si="54">M24/12</f>
        <v>28732.708333333332</v>
      </c>
      <c r="N26" s="13">
        <f t="shared" si="53"/>
        <v>29594.689583333336</v>
      </c>
      <c r="O26" s="13">
        <f t="shared" si="53"/>
        <v>30482.530270833337</v>
      </c>
      <c r="P26" s="13">
        <f t="shared" si="53"/>
        <v>31397.006178958338</v>
      </c>
      <c r="Q26" s="13">
        <f t="shared" si="53"/>
        <v>32338.916364327088</v>
      </c>
      <c r="R26" s="13">
        <f t="shared" si="53"/>
        <v>33309.083855256897</v>
      </c>
      <c r="S26" s="13">
        <f t="shared" si="53"/>
        <v>34308.356370914604</v>
      </c>
      <c r="T26" s="13">
        <f t="shared" ref="T26:V26" si="55">T24/12</f>
        <v>35337.607062042043</v>
      </c>
      <c r="U26" s="13">
        <f t="shared" si="55"/>
        <v>36397.735273903309</v>
      </c>
      <c r="V26" s="13">
        <f t="shared" si="55"/>
        <v>36397.735273903309</v>
      </c>
      <c r="W26" s="13">
        <f t="shared" ref="W26:AC26" si="56">W24/12</f>
        <v>36397.735273903309</v>
      </c>
      <c r="X26" s="13">
        <f t="shared" si="56"/>
        <v>36397.735273903309</v>
      </c>
      <c r="Y26" s="13">
        <f t="shared" si="56"/>
        <v>36397.735273903309</v>
      </c>
      <c r="Z26" s="13">
        <f t="shared" si="56"/>
        <v>36397.735273903309</v>
      </c>
      <c r="AA26" s="13">
        <f t="shared" si="56"/>
        <v>36397.735273903309</v>
      </c>
      <c r="AB26" s="13">
        <f t="shared" si="56"/>
        <v>36397.735273903309</v>
      </c>
      <c r="AC26" s="13">
        <f t="shared" si="56"/>
        <v>36397.735273903309</v>
      </c>
      <c r="AD26" s="13">
        <f t="shared" ref="AD26:AJ26" si="57">AD24/12</f>
        <v>36397.735273903309</v>
      </c>
      <c r="AE26" s="13">
        <f t="shared" si="57"/>
        <v>36397.735273903309</v>
      </c>
      <c r="AF26" s="13">
        <f t="shared" si="57"/>
        <v>36397.735273903309</v>
      </c>
      <c r="AG26" s="13">
        <f t="shared" si="57"/>
        <v>36397.735273903309</v>
      </c>
      <c r="AH26" s="13">
        <f t="shared" si="57"/>
        <v>36397.735273903309</v>
      </c>
      <c r="AI26" s="13">
        <f t="shared" si="57"/>
        <v>36397.735273903309</v>
      </c>
      <c r="AJ26" s="13">
        <f t="shared" si="57"/>
        <v>36397.735273903309</v>
      </c>
      <c r="AK26" s="1"/>
      <c r="AL26" s="51">
        <f>SUM(C26:AK26)</f>
        <v>994915.30990145239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31"/>
    </row>
    <row r="27" spans="1:522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9" spans="1:522" x14ac:dyDescent="0.2">
      <c r="A29" s="1" t="s">
        <v>13</v>
      </c>
      <c r="C29" s="50"/>
    </row>
    <row r="30" spans="1:522" s="11" customFormat="1" x14ac:dyDescent="0.2">
      <c r="A30" s="8" t="s">
        <v>9</v>
      </c>
      <c r="B30" s="8"/>
      <c r="C30" s="9">
        <f>370632*1.03-C16</f>
        <v>381750.96</v>
      </c>
      <c r="D30" s="9">
        <f>C30*$J$7-D16</f>
        <v>404656.01760000002</v>
      </c>
      <c r="E30" s="9">
        <f>D30*$J$7-E16</f>
        <v>428935.37865600002</v>
      </c>
      <c r="F30" s="9">
        <f>E30*$J$7-F16</f>
        <v>454671.50137536007</v>
      </c>
      <c r="G30" s="9">
        <f>F30*$J$7-G16</f>
        <v>481951.79145788169</v>
      </c>
      <c r="H30" s="9">
        <v>300000</v>
      </c>
      <c r="I30" s="9">
        <f>H30*$J$7-I16</f>
        <v>318000</v>
      </c>
      <c r="J30" s="9">
        <f>Sheet1!E5</f>
        <v>300000</v>
      </c>
      <c r="K30" s="9">
        <f t="shared" ref="K30:AJ30" si="58">J30*$J$7-K16</f>
        <v>318000</v>
      </c>
      <c r="L30" s="9">
        <f t="shared" si="58"/>
        <v>337080</v>
      </c>
      <c r="M30" s="9">
        <f t="shared" si="58"/>
        <v>357304.80000000005</v>
      </c>
      <c r="N30" s="9">
        <f t="shared" si="58"/>
        <v>378743.08800000005</v>
      </c>
      <c r="O30" s="9">
        <f t="shared" si="58"/>
        <v>401467.67328000005</v>
      </c>
      <c r="P30" s="9">
        <f t="shared" si="58"/>
        <v>425555.7336768001</v>
      </c>
      <c r="Q30" s="9">
        <f t="shared" si="58"/>
        <v>451089.07769740815</v>
      </c>
      <c r="R30" s="9">
        <f t="shared" si="58"/>
        <v>478154.42235925264</v>
      </c>
      <c r="S30" s="9">
        <f t="shared" si="58"/>
        <v>506843.68770080782</v>
      </c>
      <c r="T30" s="9">
        <f t="shared" si="58"/>
        <v>537254.3089628563</v>
      </c>
      <c r="U30" s="9">
        <f t="shared" si="58"/>
        <v>569489.56750062772</v>
      </c>
      <c r="V30" s="9">
        <f t="shared" si="58"/>
        <v>603658.94155066542</v>
      </c>
      <c r="W30" s="9">
        <f t="shared" si="58"/>
        <v>639878.47804370534</v>
      </c>
      <c r="X30" s="9">
        <f t="shared" si="58"/>
        <v>678271.18672632775</v>
      </c>
      <c r="Y30" s="9">
        <f t="shared" si="58"/>
        <v>718967.45792990748</v>
      </c>
      <c r="Z30" s="9">
        <f t="shared" si="58"/>
        <v>762105.50540570193</v>
      </c>
      <c r="AA30" s="9">
        <f t="shared" si="58"/>
        <v>807831.83573004405</v>
      </c>
      <c r="AB30" s="9">
        <f t="shared" si="58"/>
        <v>856301.7458738467</v>
      </c>
      <c r="AC30" s="9">
        <f t="shared" si="58"/>
        <v>907679.8506262775</v>
      </c>
      <c r="AD30" s="9">
        <f t="shared" si="58"/>
        <v>962140.64166385424</v>
      </c>
      <c r="AE30" s="9">
        <f t="shared" si="58"/>
        <v>1019869.0801636856</v>
      </c>
      <c r="AF30" s="9">
        <f t="shared" si="58"/>
        <v>1081061.2249735068</v>
      </c>
      <c r="AG30" s="9">
        <f t="shared" si="58"/>
        <v>1145924.8984719173</v>
      </c>
      <c r="AH30" s="9">
        <f t="shared" si="58"/>
        <v>1214680.3923802325</v>
      </c>
      <c r="AI30" s="9">
        <f t="shared" si="58"/>
        <v>1287561.2159230465</v>
      </c>
      <c r="AJ30" s="9">
        <f t="shared" si="58"/>
        <v>1364814.8888784293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</row>
    <row r="31" spans="1:522" s="12" customFormat="1" x14ac:dyDescent="0.2">
      <c r="A31" s="8" t="s">
        <v>7</v>
      </c>
      <c r="B31" s="8"/>
      <c r="C31" s="9">
        <f>566294*1.03-46500</f>
        <v>536782.82000000007</v>
      </c>
      <c r="D31" s="9">
        <f>C31*$J$7-D13</f>
        <v>568989.78920000012</v>
      </c>
      <c r="E31" s="9">
        <f>D31*$J$7-E13</f>
        <v>603129.17655200011</v>
      </c>
      <c r="F31" s="9">
        <f>E31*$J$7-F13</f>
        <v>639316.92714512011</v>
      </c>
      <c r="G31" s="9">
        <f>F31*$J$7-G13</f>
        <v>677675.94277382735</v>
      </c>
      <c r="H31" s="9">
        <v>695000</v>
      </c>
      <c r="I31" s="9">
        <f>H31*$J$7-I13</f>
        <v>736700</v>
      </c>
      <c r="J31" s="9">
        <f>Sheet1!E6</f>
        <v>800000</v>
      </c>
      <c r="K31" s="9">
        <f t="shared" ref="K31:AJ31" si="59">J31*$J$7-K13</f>
        <v>815479.67479674798</v>
      </c>
      <c r="L31" s="9">
        <f t="shared" si="59"/>
        <v>830000.03018764372</v>
      </c>
      <c r="M31" s="9">
        <f t="shared" si="59"/>
        <v>843555.48919594847</v>
      </c>
      <c r="N31" s="9">
        <f t="shared" si="59"/>
        <v>855825.3872206168</v>
      </c>
      <c r="O31" s="9">
        <f t="shared" si="59"/>
        <v>866614.46556188154</v>
      </c>
      <c r="P31" s="9">
        <f t="shared" si="59"/>
        <v>875709.62727965973</v>
      </c>
      <c r="Q31" s="9">
        <f t="shared" si="59"/>
        <v>883112.53340717859</v>
      </c>
      <c r="R31" s="9">
        <f t="shared" si="59"/>
        <v>888363.47279500507</v>
      </c>
      <c r="S31" s="9">
        <f t="shared" si="59"/>
        <v>891475.25445112318</v>
      </c>
      <c r="T31" s="9">
        <f t="shared" si="59"/>
        <v>891899.76647705236</v>
      </c>
      <c r="U31" s="9">
        <f t="shared" si="59"/>
        <v>889670.01706085983</v>
      </c>
      <c r="V31" s="9">
        <f t="shared" si="59"/>
        <v>884519.29590945493</v>
      </c>
      <c r="W31" s="9">
        <f t="shared" si="59"/>
        <v>876165.502559199</v>
      </c>
      <c r="X31" s="9">
        <f t="shared" si="59"/>
        <v>864781.74639456125</v>
      </c>
      <c r="Y31" s="9">
        <f t="shared" si="59"/>
        <v>849631.30649648607</v>
      </c>
      <c r="Z31" s="9">
        <f t="shared" si="59"/>
        <v>830967.2745177109</v>
      </c>
      <c r="AA31" s="9">
        <f t="shared" si="59"/>
        <v>808567.28711766831</v>
      </c>
      <c r="AB31" s="9">
        <f t="shared" si="59"/>
        <v>782213.98294494441</v>
      </c>
      <c r="AC31" s="9">
        <f t="shared" si="59"/>
        <v>751699.89291719114</v>
      </c>
      <c r="AD31" s="9">
        <f t="shared" si="59"/>
        <v>717675.58197462361</v>
      </c>
      <c r="AE31" s="9">
        <f t="shared" si="59"/>
        <v>680098.41105325567</v>
      </c>
      <c r="AF31" s="9">
        <f t="shared" si="59"/>
        <v>639940.21916249208</v>
      </c>
      <c r="AG31" s="9">
        <f t="shared" si="59"/>
        <v>596293.01447089645</v>
      </c>
      <c r="AH31" s="9">
        <f t="shared" si="59"/>
        <v>550386.62075409596</v>
      </c>
      <c r="AI31" s="9">
        <f t="shared" si="59"/>
        <v>502470.60906491592</v>
      </c>
      <c r="AJ31" s="9">
        <f t="shared" si="59"/>
        <v>454107.8129424178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</row>
    <row r="32" spans="1:522" s="11" customFormat="1" x14ac:dyDescent="0.2">
      <c r="A32" s="8" t="s">
        <v>8</v>
      </c>
      <c r="B32" s="8"/>
      <c r="C32" s="9">
        <f>568057*1.03</f>
        <v>585098.71</v>
      </c>
      <c r="D32" s="9">
        <f>C32*$J$7-D15</f>
        <v>620204.63260000001</v>
      </c>
      <c r="E32" s="9">
        <f>D32*$J$7-E15</f>
        <v>657416.91055600008</v>
      </c>
      <c r="F32" s="9">
        <f>E32*$J$7-F15</f>
        <v>696861.92518936016</v>
      </c>
      <c r="G32" s="9">
        <f>F32*$J$7-G15</f>
        <v>738673.64070072176</v>
      </c>
      <c r="H32" s="9">
        <v>842000</v>
      </c>
      <c r="I32" s="9">
        <f>H32*$J$7-I15</f>
        <v>892520</v>
      </c>
      <c r="J32" s="9">
        <f>Sheet1!E4</f>
        <v>1025000</v>
      </c>
      <c r="K32" s="9">
        <f t="shared" ref="K32:AJ32" si="60">J32*$J$7-K15</f>
        <v>1086500</v>
      </c>
      <c r="L32" s="9">
        <f t="shared" si="60"/>
        <v>1151690</v>
      </c>
      <c r="M32" s="9">
        <f t="shared" si="60"/>
        <v>1220791.4000000001</v>
      </c>
      <c r="N32" s="9">
        <f t="shared" si="60"/>
        <v>1294038.8840000003</v>
      </c>
      <c r="O32" s="9">
        <f t="shared" si="60"/>
        <v>1371681.2170400005</v>
      </c>
      <c r="P32" s="9">
        <f t="shared" si="60"/>
        <v>1453982.0900624006</v>
      </c>
      <c r="Q32" s="9">
        <f t="shared" si="60"/>
        <v>1541221.0154661448</v>
      </c>
      <c r="R32" s="9">
        <f t="shared" si="60"/>
        <v>1633694.2763941134</v>
      </c>
      <c r="S32" s="9">
        <f t="shared" si="60"/>
        <v>1670067.0923591144</v>
      </c>
      <c r="T32" s="9">
        <f t="shared" si="60"/>
        <v>1704778.2907493236</v>
      </c>
      <c r="U32" s="9">
        <f t="shared" si="60"/>
        <v>1737765.057676018</v>
      </c>
      <c r="V32" s="9">
        <f t="shared" si="60"/>
        <v>1768707.5409814727</v>
      </c>
      <c r="W32" s="9">
        <f t="shared" si="60"/>
        <v>1797593.8562795983</v>
      </c>
      <c r="X32" s="9">
        <f t="shared" si="60"/>
        <v>1823740.6760073015</v>
      </c>
      <c r="Y32" s="9">
        <f t="shared" si="60"/>
        <v>1846731.9091740288</v>
      </c>
      <c r="Z32" s="9">
        <f t="shared" si="60"/>
        <v>1866113.451983182</v>
      </c>
      <c r="AA32" s="9">
        <f t="shared" si="60"/>
        <v>1881888.8440514933</v>
      </c>
      <c r="AB32" s="9">
        <f t="shared" si="60"/>
        <v>1893078.4533945024</v>
      </c>
      <c r="AC32" s="9">
        <f t="shared" si="60"/>
        <v>1899709.5756606301</v>
      </c>
      <c r="AD32" s="9">
        <f t="shared" si="60"/>
        <v>1900614.1992680877</v>
      </c>
      <c r="AE32" s="9">
        <f t="shared" si="60"/>
        <v>1895862.6637699176</v>
      </c>
      <c r="AF32" s="9">
        <f t="shared" si="60"/>
        <v>1884886.6167691445</v>
      </c>
      <c r="AG32" s="9">
        <f t="shared" si="60"/>
        <v>1867084.9098329917</v>
      </c>
      <c r="AH32" s="9">
        <f t="shared" si="60"/>
        <v>1842826.4343621689</v>
      </c>
      <c r="AI32" s="9">
        <f t="shared" si="60"/>
        <v>1810541.2580702426</v>
      </c>
      <c r="AJ32" s="9">
        <f t="shared" si="60"/>
        <v>1770768.7124011586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</row>
    <row r="33" spans="1:521" s="11" customFormat="1" x14ac:dyDescent="0.2">
      <c r="A33" s="8" t="s">
        <v>51</v>
      </c>
      <c r="B33" s="8"/>
      <c r="C33" s="9">
        <v>451786</v>
      </c>
      <c r="D33" s="9">
        <f>C33*$J$7-D17</f>
        <v>478893.16000000003</v>
      </c>
      <c r="E33" s="9">
        <f>D33*$J$7-E17</f>
        <v>507626.74960000004</v>
      </c>
      <c r="F33" s="9">
        <f>E33*$J$7-F17</f>
        <v>538084.35457600001</v>
      </c>
      <c r="G33" s="9">
        <f>F33*$J$7-G17</f>
        <v>570369.41585056006</v>
      </c>
      <c r="H33" s="9">
        <v>650000</v>
      </c>
      <c r="I33" s="9">
        <f>H33*$J$7-I17</f>
        <v>689000</v>
      </c>
      <c r="J33" s="9">
        <f>Sheet1!E12</f>
        <v>2000000</v>
      </c>
      <c r="K33" s="9">
        <f t="shared" ref="K33:AJ33" si="61">J33*$J$7-K17</f>
        <v>1979196.7741463415</v>
      </c>
      <c r="L33" s="9">
        <f t="shared" si="61"/>
        <v>1948754.7866648969</v>
      </c>
      <c r="M33" s="9">
        <f t="shared" si="61"/>
        <v>1907765.7846829176</v>
      </c>
      <c r="N33" s="9">
        <f t="shared" si="61"/>
        <v>1855484.8673193965</v>
      </c>
      <c r="O33" s="9">
        <f t="shared" si="61"/>
        <v>1791009.2564307805</v>
      </c>
      <c r="P33" s="9">
        <f t="shared" si="61"/>
        <v>1757320.1461446004</v>
      </c>
      <c r="Q33" s="9">
        <f t="shared" si="61"/>
        <v>1712796.9628280192</v>
      </c>
      <c r="R33" s="9">
        <f t="shared" si="61"/>
        <v>1656723.6681262406</v>
      </c>
      <c r="S33" s="9">
        <f t="shared" si="61"/>
        <v>1697729.5379020318</v>
      </c>
      <c r="T33" s="9">
        <f t="shared" si="61"/>
        <v>1738611.3757046438</v>
      </c>
      <c r="U33" s="9">
        <f t="shared" si="61"/>
        <v>1778807.6655897568</v>
      </c>
      <c r="V33" s="9">
        <f t="shared" si="61"/>
        <v>1830629.4766292702</v>
      </c>
      <c r="W33" s="9">
        <f t="shared" si="61"/>
        <v>1894381.0749466144</v>
      </c>
      <c r="X33" s="9">
        <f t="shared" si="61"/>
        <v>1971452.3721729445</v>
      </c>
      <c r="Y33" s="9">
        <f t="shared" si="61"/>
        <v>2063401.1818261577</v>
      </c>
      <c r="Z33" s="9">
        <f t="shared" si="61"/>
        <v>2171258.6316541014</v>
      </c>
      <c r="AA33" s="9">
        <f t="shared" si="61"/>
        <v>2295657.15797373</v>
      </c>
      <c r="AB33" s="9">
        <f t="shared" si="61"/>
        <v>2433396.5874521541</v>
      </c>
      <c r="AC33" s="9">
        <f t="shared" si="61"/>
        <v>2579400.3826992833</v>
      </c>
      <c r="AD33" s="9">
        <f t="shared" si="61"/>
        <v>2734164.4056612402</v>
      </c>
      <c r="AE33" s="9">
        <f t="shared" si="61"/>
        <v>2898214.2700009146</v>
      </c>
      <c r="AF33" s="9">
        <f t="shared" si="61"/>
        <v>3072107.1262009698</v>
      </c>
      <c r="AG33" s="9">
        <f t="shared" si="61"/>
        <v>3256433.5537730283</v>
      </c>
      <c r="AH33" s="9">
        <f t="shared" si="61"/>
        <v>3451819.5669994103</v>
      </c>
      <c r="AI33" s="9">
        <f t="shared" si="61"/>
        <v>3658928.7410193752</v>
      </c>
      <c r="AJ33" s="9">
        <f t="shared" si="61"/>
        <v>3878464.4654805381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</row>
    <row r="34" spans="1:521" s="11" customFormat="1" x14ac:dyDescent="0.2">
      <c r="A34" s="8" t="s">
        <v>35</v>
      </c>
      <c r="B34" s="8"/>
      <c r="C34" s="9"/>
      <c r="D34" s="9"/>
      <c r="E34" s="9"/>
      <c r="F34" s="9"/>
      <c r="G34" s="9"/>
      <c r="H34" s="9">
        <v>908000</v>
      </c>
      <c r="I34" s="9">
        <f>H34*$J$7-I14</f>
        <v>962480</v>
      </c>
      <c r="J34" s="9">
        <f>Sheet1!E9</f>
        <v>1583637.0000000002</v>
      </c>
      <c r="K34" s="9">
        <f t="shared" ref="K34:AJ34" si="62">J34*$J$7-K14</f>
        <v>1678655.2200000004</v>
      </c>
      <c r="L34" s="9">
        <f t="shared" si="62"/>
        <v>1779374.5332000006</v>
      </c>
      <c r="M34" s="9">
        <f t="shared" si="62"/>
        <v>1886137.0051920009</v>
      </c>
      <c r="N34" s="9">
        <f t="shared" si="62"/>
        <v>1999305.225503521</v>
      </c>
      <c r="O34" s="9">
        <f t="shared" si="62"/>
        <v>2119263.5390337324</v>
      </c>
      <c r="P34" s="9">
        <f t="shared" si="62"/>
        <v>2246419.3513757563</v>
      </c>
      <c r="Q34" s="9">
        <f t="shared" si="62"/>
        <v>2381204.5124583016</v>
      </c>
      <c r="R34" s="9">
        <f t="shared" si="62"/>
        <v>2524076.7832057998</v>
      </c>
      <c r="S34" s="9">
        <f t="shared" si="62"/>
        <v>2580273.2096998156</v>
      </c>
      <c r="T34" s="9">
        <f t="shared" si="62"/>
        <v>2633902.4175876942</v>
      </c>
      <c r="U34" s="9">
        <f t="shared" si="62"/>
        <v>2684867.3586759767</v>
      </c>
      <c r="V34" s="9">
        <f t="shared" si="62"/>
        <v>2732673.8576363679</v>
      </c>
      <c r="W34" s="9">
        <f t="shared" si="62"/>
        <v>2777303.5529532242</v>
      </c>
      <c r="X34" s="9">
        <f t="shared" si="62"/>
        <v>2817700.6955416347</v>
      </c>
      <c r="Y34" s="9">
        <f t="shared" si="62"/>
        <v>2853222.419949885</v>
      </c>
      <c r="Z34" s="9">
        <f t="shared" si="62"/>
        <v>2883167.1304958938</v>
      </c>
      <c r="AA34" s="9">
        <f t="shared" si="62"/>
        <v>2907540.2959289518</v>
      </c>
      <c r="AB34" s="9">
        <f t="shared" si="62"/>
        <v>2924828.3733642055</v>
      </c>
      <c r="AC34" s="9">
        <f t="shared" si="62"/>
        <v>2935073.5348980241</v>
      </c>
      <c r="AD34" s="9">
        <f t="shared" si="62"/>
        <v>2936471.1889622612</v>
      </c>
      <c r="AE34" s="9">
        <f t="shared" si="62"/>
        <v>2929130.010989856</v>
      </c>
      <c r="AF34" s="9">
        <f t="shared" si="62"/>
        <v>2912171.8898735992</v>
      </c>
      <c r="AG34" s="9">
        <f t="shared" si="62"/>
        <v>2884668.0442470154</v>
      </c>
      <c r="AH34" s="9">
        <f t="shared" si="62"/>
        <v>2847188.4156429302</v>
      </c>
      <c r="AI34" s="9">
        <f t="shared" si="62"/>
        <v>2797307.4402991086</v>
      </c>
      <c r="AJ34" s="9">
        <f t="shared" si="62"/>
        <v>2735858.3916105712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</row>
    <row r="35" spans="1:521" s="14" customFormat="1" x14ac:dyDescent="0.2">
      <c r="A35" s="10" t="s">
        <v>14</v>
      </c>
      <c r="B35" s="10"/>
      <c r="C35" s="13">
        <f t="shared" ref="C35:AJ35" si="63">SUM(C30:C34)</f>
        <v>1955418.49</v>
      </c>
      <c r="D35" s="13">
        <f t="shared" si="63"/>
        <v>2072743.5994000002</v>
      </c>
      <c r="E35" s="13">
        <f t="shared" si="63"/>
        <v>2197108.2153640003</v>
      </c>
      <c r="F35" s="13">
        <f t="shared" si="63"/>
        <v>2328934.7082858402</v>
      </c>
      <c r="G35" s="13">
        <f t="shared" si="63"/>
        <v>2468670.7907829909</v>
      </c>
      <c r="H35" s="13">
        <f t="shared" si="63"/>
        <v>3395000</v>
      </c>
      <c r="I35" s="13">
        <f t="shared" si="63"/>
        <v>3598700</v>
      </c>
      <c r="J35" s="13">
        <f t="shared" si="63"/>
        <v>5708637</v>
      </c>
      <c r="K35" s="13">
        <f t="shared" si="63"/>
        <v>5877831.6689430904</v>
      </c>
      <c r="L35" s="13">
        <f t="shared" si="63"/>
        <v>6046899.3500525411</v>
      </c>
      <c r="M35" s="13">
        <f t="shared" si="63"/>
        <v>6215554.4790708665</v>
      </c>
      <c r="N35" s="13">
        <f t="shared" si="63"/>
        <v>6383397.4520435352</v>
      </c>
      <c r="O35" s="13">
        <f t="shared" si="63"/>
        <v>6550036.1513463948</v>
      </c>
      <c r="P35" s="13">
        <f t="shared" si="63"/>
        <v>6758986.9485392179</v>
      </c>
      <c r="Q35" s="13">
        <f t="shared" si="63"/>
        <v>6969424.1018570531</v>
      </c>
      <c r="R35" s="13">
        <f t="shared" si="63"/>
        <v>7181012.6228804113</v>
      </c>
      <c r="S35" s="13">
        <f t="shared" si="63"/>
        <v>7346388.7821128927</v>
      </c>
      <c r="T35" s="13">
        <f t="shared" si="63"/>
        <v>7506446.1594815701</v>
      </c>
      <c r="U35" s="13">
        <f t="shared" si="63"/>
        <v>7660599.6665032394</v>
      </c>
      <c r="V35" s="13">
        <f t="shared" si="63"/>
        <v>7820189.1127072312</v>
      </c>
      <c r="W35" s="13">
        <f t="shared" si="63"/>
        <v>7985322.4647823423</v>
      </c>
      <c r="X35" s="13">
        <f t="shared" si="63"/>
        <v>8155946.6768427696</v>
      </c>
      <c r="Y35" s="13">
        <f t="shared" si="63"/>
        <v>8331954.2753764652</v>
      </c>
      <c r="Z35" s="13">
        <f t="shared" si="63"/>
        <v>8513611.9940565899</v>
      </c>
      <c r="AA35" s="13">
        <f t="shared" si="63"/>
        <v>8701485.4208018873</v>
      </c>
      <c r="AB35" s="13">
        <f t="shared" si="63"/>
        <v>8889819.1430296525</v>
      </c>
      <c r="AC35" s="13">
        <f t="shared" si="63"/>
        <v>9073563.2368014064</v>
      </c>
      <c r="AD35" s="13">
        <f t="shared" si="63"/>
        <v>9251066.0175300669</v>
      </c>
      <c r="AE35" s="13">
        <f t="shared" si="63"/>
        <v>9423174.4359776303</v>
      </c>
      <c r="AF35" s="13">
        <f t="shared" si="63"/>
        <v>9590167.0769797135</v>
      </c>
      <c r="AG35" s="13">
        <f t="shared" si="63"/>
        <v>9750404.4207958505</v>
      </c>
      <c r="AH35" s="13">
        <f t="shared" si="63"/>
        <v>9906901.4301388375</v>
      </c>
      <c r="AI35" s="13">
        <f t="shared" si="63"/>
        <v>10056809.264376689</v>
      </c>
      <c r="AJ35" s="13">
        <f t="shared" si="63"/>
        <v>10204014.271313116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</row>
    <row r="37" spans="1:521" x14ac:dyDescent="0.2">
      <c r="A37" s="46" t="s">
        <v>25</v>
      </c>
      <c r="B37" s="46"/>
      <c r="C37" s="47">
        <f t="shared" ref="C37:AJ37" si="64">C21</f>
        <v>178286</v>
      </c>
      <c r="D37" s="47">
        <f t="shared" si="64"/>
        <v>178286</v>
      </c>
      <c r="E37" s="47">
        <f t="shared" si="64"/>
        <v>178286</v>
      </c>
      <c r="F37" s="47">
        <f t="shared" si="64"/>
        <v>178286</v>
      </c>
      <c r="G37" s="47">
        <f t="shared" si="64"/>
        <v>178286</v>
      </c>
      <c r="H37" s="47">
        <f t="shared" si="64"/>
        <v>178286</v>
      </c>
      <c r="I37" s="47">
        <f t="shared" si="64"/>
        <v>178286</v>
      </c>
      <c r="J37" s="47">
        <f t="shared" si="64"/>
        <v>178286</v>
      </c>
      <c r="K37" s="47">
        <f t="shared" si="64"/>
        <v>210806.32520325202</v>
      </c>
      <c r="L37" s="47">
        <f t="shared" si="64"/>
        <v>212694.4250969092</v>
      </c>
      <c r="M37" s="47">
        <f t="shared" si="64"/>
        <v>214530.54280295386</v>
      </c>
      <c r="N37" s="47">
        <f t="shared" si="64"/>
        <v>216629.43132708856</v>
      </c>
      <c r="O37" s="47">
        <f t="shared" si="64"/>
        <v>218846.44489197235</v>
      </c>
      <c r="P37" s="47">
        <f t="shared" si="64"/>
        <v>282219.70621593471</v>
      </c>
      <c r="Q37" s="47">
        <f t="shared" si="64"/>
        <v>285678.31150926085</v>
      </c>
      <c r="R37" s="47">
        <f t="shared" si="64"/>
        <v>289519.50541660422</v>
      </c>
      <c r="S37" s="47">
        <f t="shared" si="64"/>
        <v>450140.69448456005</v>
      </c>
      <c r="T37" s="47">
        <f t="shared" si="64"/>
        <v>464093.01467570651</v>
      </c>
      <c r="U37" s="47">
        <f t="shared" si="64"/>
        <v>477783.12947096274</v>
      </c>
      <c r="V37" s="47">
        <f t="shared" si="64"/>
        <v>492157.82966285106</v>
      </c>
      <c r="W37" s="47">
        <f t="shared" si="64"/>
        <v>506384.40807488328</v>
      </c>
      <c r="X37" s="47">
        <f t="shared" si="64"/>
        <v>521698.28389737557</v>
      </c>
      <c r="Y37" s="47">
        <f t="shared" si="64"/>
        <v>538235.75904786494</v>
      </c>
      <c r="Z37" s="47">
        <f t="shared" si="64"/>
        <v>554996.58420195745</v>
      </c>
      <c r="AA37" s="47">
        <f t="shared" si="64"/>
        <v>571237.92210842273</v>
      </c>
      <c r="AB37" s="47">
        <f t="shared" si="64"/>
        <v>589444.73622609</v>
      </c>
      <c r="AC37" s="47">
        <f t="shared" si="64"/>
        <v>606882.45467988285</v>
      </c>
      <c r="AD37" s="47">
        <f t="shared" si="64"/>
        <v>625727.4413466769</v>
      </c>
      <c r="AE37" s="47">
        <f t="shared" si="64"/>
        <v>643382.57902884041</v>
      </c>
      <c r="AF37" s="47">
        <f t="shared" si="64"/>
        <v>660467.68230966595</v>
      </c>
      <c r="AG37" s="47">
        <f t="shared" si="64"/>
        <v>678918.21509879874</v>
      </c>
      <c r="AH37" s="47">
        <f t="shared" si="64"/>
        <v>693981.98088683782</v>
      </c>
      <c r="AI37" s="47">
        <f t="shared" si="64"/>
        <v>711704.35105219658</v>
      </c>
      <c r="AJ37" s="47">
        <f t="shared" si="64"/>
        <v>725179.89039752691</v>
      </c>
    </row>
    <row r="38" spans="1:521" x14ac:dyDescent="0.2">
      <c r="A38" s="46" t="s">
        <v>27</v>
      </c>
      <c r="B38" s="46"/>
      <c r="C38" s="47">
        <v>45000</v>
      </c>
      <c r="D38" s="47">
        <f>C38</f>
        <v>45000</v>
      </c>
      <c r="E38" s="47">
        <f t="shared" ref="E38:I38" si="65">D38</f>
        <v>45000</v>
      </c>
      <c r="F38" s="47">
        <f t="shared" si="65"/>
        <v>45000</v>
      </c>
      <c r="G38" s="47">
        <f t="shared" si="65"/>
        <v>45000</v>
      </c>
      <c r="H38" s="47">
        <f t="shared" si="65"/>
        <v>45000</v>
      </c>
      <c r="I38" s="47">
        <f t="shared" si="65"/>
        <v>45000</v>
      </c>
      <c r="J38" s="47">
        <v>78000</v>
      </c>
      <c r="K38" s="47">
        <v>78000</v>
      </c>
      <c r="L38" s="47">
        <v>78000</v>
      </c>
      <c r="M38" s="47">
        <v>78000</v>
      </c>
      <c r="N38" s="47">
        <v>78000</v>
      </c>
      <c r="O38" s="47">
        <v>78000</v>
      </c>
      <c r="P38" s="47">
        <v>78000</v>
      </c>
      <c r="Q38" s="47">
        <v>78000</v>
      </c>
      <c r="R38" s="47">
        <v>78000</v>
      </c>
      <c r="S38" s="47">
        <v>78000</v>
      </c>
      <c r="T38" s="47">
        <v>78000</v>
      </c>
      <c r="U38" s="47">
        <v>78000</v>
      </c>
      <c r="V38" s="47">
        <v>78000</v>
      </c>
      <c r="W38" s="47">
        <v>78000</v>
      </c>
      <c r="X38" s="47">
        <v>78000</v>
      </c>
      <c r="Y38" s="47">
        <v>78000</v>
      </c>
      <c r="Z38" s="47">
        <v>78000</v>
      </c>
      <c r="AA38" s="47">
        <v>78000</v>
      </c>
      <c r="AB38" s="47">
        <v>78000</v>
      </c>
      <c r="AC38" s="47">
        <v>78000</v>
      </c>
      <c r="AD38" s="47">
        <v>78000</v>
      </c>
      <c r="AE38" s="47">
        <v>78000</v>
      </c>
      <c r="AF38" s="47">
        <v>78000</v>
      </c>
      <c r="AG38" s="47">
        <v>78000</v>
      </c>
      <c r="AH38" s="47">
        <v>78000</v>
      </c>
      <c r="AI38" s="47">
        <v>78000</v>
      </c>
      <c r="AJ38" s="47">
        <v>78000</v>
      </c>
    </row>
    <row r="39" spans="1:521" x14ac:dyDescent="0.2">
      <c r="A39" s="46" t="s">
        <v>26</v>
      </c>
      <c r="B39" s="46"/>
      <c r="C39" s="47">
        <f>C37-C38</f>
        <v>133286</v>
      </c>
      <c r="D39" s="47">
        <f t="shared" ref="D39:AJ39" si="66">D37-D38</f>
        <v>133286</v>
      </c>
      <c r="E39" s="47">
        <f t="shared" si="66"/>
        <v>133286</v>
      </c>
      <c r="F39" s="47">
        <f t="shared" si="66"/>
        <v>133286</v>
      </c>
      <c r="G39" s="47">
        <f t="shared" si="66"/>
        <v>133286</v>
      </c>
      <c r="H39" s="47">
        <f t="shared" si="66"/>
        <v>133286</v>
      </c>
      <c r="I39" s="47">
        <f t="shared" si="66"/>
        <v>133286</v>
      </c>
      <c r="J39" s="47">
        <f t="shared" si="66"/>
        <v>100286</v>
      </c>
      <c r="K39" s="47">
        <f t="shared" si="66"/>
        <v>132806.32520325202</v>
      </c>
      <c r="L39" s="47">
        <f t="shared" si="66"/>
        <v>134694.4250969092</v>
      </c>
      <c r="M39" s="47">
        <f t="shared" si="66"/>
        <v>136530.54280295386</v>
      </c>
      <c r="N39" s="47">
        <f t="shared" si="66"/>
        <v>138629.43132708856</v>
      </c>
      <c r="O39" s="47">
        <f t="shared" si="66"/>
        <v>140846.44489197235</v>
      </c>
      <c r="P39" s="47">
        <f t="shared" si="66"/>
        <v>204219.70621593471</v>
      </c>
      <c r="Q39" s="47">
        <f t="shared" si="66"/>
        <v>207678.31150926085</v>
      </c>
      <c r="R39" s="47">
        <f t="shared" si="66"/>
        <v>211519.50541660422</v>
      </c>
      <c r="S39" s="47">
        <f t="shared" si="66"/>
        <v>372140.69448456005</v>
      </c>
      <c r="T39" s="47">
        <f t="shared" si="66"/>
        <v>386093.01467570651</v>
      </c>
      <c r="U39" s="47">
        <f t="shared" si="66"/>
        <v>399783.12947096274</v>
      </c>
      <c r="V39" s="47">
        <f t="shared" si="66"/>
        <v>414157.82966285106</v>
      </c>
      <c r="W39" s="47">
        <f t="shared" si="66"/>
        <v>428384.40807488328</v>
      </c>
      <c r="X39" s="47">
        <f t="shared" si="66"/>
        <v>443698.28389737557</v>
      </c>
      <c r="Y39" s="47">
        <f t="shared" si="66"/>
        <v>460235.75904786494</v>
      </c>
      <c r="Z39" s="47">
        <f t="shared" si="66"/>
        <v>476996.58420195745</v>
      </c>
      <c r="AA39" s="47">
        <f t="shared" si="66"/>
        <v>493237.92210842273</v>
      </c>
      <c r="AB39" s="47">
        <f t="shared" si="66"/>
        <v>511444.73622609</v>
      </c>
      <c r="AC39" s="47">
        <f t="shared" si="66"/>
        <v>528882.45467988285</v>
      </c>
      <c r="AD39" s="47">
        <f t="shared" si="66"/>
        <v>547727.4413466769</v>
      </c>
      <c r="AE39" s="47">
        <f t="shared" si="66"/>
        <v>565382.57902884041</v>
      </c>
      <c r="AF39" s="47">
        <f t="shared" si="66"/>
        <v>582467.68230966595</v>
      </c>
      <c r="AG39" s="47">
        <f t="shared" si="66"/>
        <v>600918.21509879874</v>
      </c>
      <c r="AH39" s="47">
        <f t="shared" si="66"/>
        <v>615981.98088683782</v>
      </c>
      <c r="AI39" s="47">
        <f t="shared" si="66"/>
        <v>633704.35105219658</v>
      </c>
      <c r="AJ39" s="47">
        <f t="shared" si="66"/>
        <v>647179.89039752691</v>
      </c>
    </row>
    <row r="40" spans="1:521" x14ac:dyDescent="0.2">
      <c r="A40" s="46" t="s">
        <v>28</v>
      </c>
      <c r="B40" s="46"/>
      <c r="C40" s="47">
        <f>VLOOKUP(C39,'Tax Table'!$B$5:$E$11,4,TRUE)+(C39-VLOOKUP(C39,'Tax Table'!$B$5:$E$11,1,TRUE))*VLOOKUP(C39,'Tax Table'!$B$5:$E$11,3,TRUE)</f>
        <v>18746.7</v>
      </c>
      <c r="D40" s="47">
        <f>VLOOKUP(D39,'Tax Table'!$B$5:$E$11,4,TRUE)+(D39-VLOOKUP(D39,'Tax Table'!$B$5:$E$11,1,TRUE))*VLOOKUP(D39,'Tax Table'!$B$5:$E$11,3,TRUE)</f>
        <v>18746.7</v>
      </c>
      <c r="E40" s="47">
        <f>VLOOKUP(E39,'Tax Table'!$B$5:$E$11,4,TRUE)+(E39-VLOOKUP(E39,'Tax Table'!$B$5:$E$11,1,TRUE))*VLOOKUP(E39,'Tax Table'!$B$5:$E$11,3,TRUE)</f>
        <v>18746.7</v>
      </c>
      <c r="F40" s="47">
        <f>VLOOKUP(F39,'Tax Table'!$B$5:$E$11,4,TRUE)+(F39-VLOOKUP(F39,'Tax Table'!$B$5:$E$11,1,TRUE))*VLOOKUP(F39,'Tax Table'!$B$5:$E$11,3,TRUE)</f>
        <v>18746.7</v>
      </c>
      <c r="G40" s="47">
        <f>VLOOKUP(G39,'Tax Table'!$B$5:$E$11,4,TRUE)+(G39-VLOOKUP(G39,'Tax Table'!$B$5:$E$11,1,TRUE))*VLOOKUP(G39,'Tax Table'!$B$5:$E$11,3,TRUE)</f>
        <v>18746.7</v>
      </c>
      <c r="H40" s="47">
        <f>VLOOKUP(H39,'Tax Table'!$B$5:$E$11,4,TRUE)+(H39-VLOOKUP(H39,'Tax Table'!$B$5:$E$11,1,TRUE))*VLOOKUP(H39,'Tax Table'!$B$5:$E$11,3,TRUE)</f>
        <v>18746.7</v>
      </c>
      <c r="I40" s="47">
        <f>VLOOKUP(I39,'Tax Table'!$B$5:$E$11,4,TRUE)+(I39-VLOOKUP(I39,'Tax Table'!$B$5:$E$11,1,TRUE))*VLOOKUP(I39,'Tax Table'!$B$5:$E$11,3,TRUE)</f>
        <v>18746.7</v>
      </c>
      <c r="J40" s="47">
        <f>VLOOKUP(J39,'Tax Table'!$B$5:$E$11,4,TRUE)+(J39-VLOOKUP(J39,'Tax Table'!$B$5:$E$11,1,TRUE))*VLOOKUP(J39,'Tax Table'!$B$5:$E$11,3,TRUE)</f>
        <v>11538.199999999999</v>
      </c>
      <c r="K40" s="47">
        <f>VLOOKUP(K39,'Tax Table'!$B$5:$E$11,4,TRUE)+(K39-VLOOKUP(K39,'Tax Table'!$B$5:$E$11,1,TRUE))*VLOOKUP(K39,'Tax Table'!$B$5:$E$11,3,TRUE)</f>
        <v>18641.171544715446</v>
      </c>
      <c r="L40" s="47">
        <f>VLOOKUP(L39,'Tax Table'!$B$5:$E$11,4,TRUE)+(L39-VLOOKUP(L39,'Tax Table'!$B$5:$E$11,1,TRUE))*VLOOKUP(L39,'Tax Table'!$B$5:$E$11,3,TRUE)</f>
        <v>19056.553521320024</v>
      </c>
      <c r="M40" s="47">
        <f>VLOOKUP(M39,'Tax Table'!$B$5:$E$11,4,TRUE)+(M39-VLOOKUP(M39,'Tax Table'!$B$5:$E$11,1,TRUE))*VLOOKUP(M39,'Tax Table'!$B$5:$E$11,3,TRUE)</f>
        <v>19460.499416649851</v>
      </c>
      <c r="N40" s="47">
        <f>VLOOKUP(N39,'Tax Table'!$B$5:$E$11,4,TRUE)+(N39-VLOOKUP(N39,'Tax Table'!$B$5:$E$11,1,TRUE))*VLOOKUP(N39,'Tax Table'!$B$5:$E$11,3,TRUE)</f>
        <v>19922.254891959485</v>
      </c>
      <c r="O40" s="47">
        <f>VLOOKUP(O39,'Tax Table'!$B$5:$E$11,4,TRUE)+(O39-VLOOKUP(O39,'Tax Table'!$B$5:$E$11,1,TRUE))*VLOOKUP(O39,'Tax Table'!$B$5:$E$11,3,TRUE)</f>
        <v>20409.997876233916</v>
      </c>
      <c r="P40" s="47">
        <f>VLOOKUP(P39,'Tax Table'!$B$5:$E$11,4,TRUE)+(P39-VLOOKUP(P39,'Tax Table'!$B$5:$E$11,1,TRUE))*VLOOKUP(P39,'Tax Table'!$B$5:$E$11,3,TRUE)</f>
        <v>34352.115367505641</v>
      </c>
      <c r="Q40" s="47">
        <f>VLOOKUP(Q39,'Tax Table'!$B$5:$E$11,4,TRUE)+(Q39-VLOOKUP(Q39,'Tax Table'!$B$5:$E$11,1,TRUE))*VLOOKUP(Q39,'Tax Table'!$B$5:$E$11,3,TRUE)</f>
        <v>35113.008532037391</v>
      </c>
      <c r="R40" s="47">
        <f>VLOOKUP(R39,'Tax Table'!$B$5:$E$11,4,TRUE)+(R39-VLOOKUP(R39,'Tax Table'!$B$5:$E$11,1,TRUE))*VLOOKUP(R39,'Tax Table'!$B$5:$E$11,3,TRUE)</f>
        <v>35960.441299985017</v>
      </c>
      <c r="S40" s="47">
        <f>VLOOKUP(S39,'Tax Table'!$B$5:$E$11,4,TRUE)+(S39-VLOOKUP(S39,'Tax Table'!$B$5:$E$11,1,TRUE))*VLOOKUP(S39,'Tax Table'!$B$5:$E$11,3,TRUE)</f>
        <v>74509.526676294408</v>
      </c>
      <c r="T40" s="47">
        <f>VLOOKUP(T39,'Tax Table'!$B$5:$E$11,4,TRUE)+(T39-VLOOKUP(T39,'Tax Table'!$B$5:$E$11,1,TRUE))*VLOOKUP(T39,'Tax Table'!$B$5:$E$11,3,TRUE)</f>
        <v>77858.08352216956</v>
      </c>
      <c r="U40" s="47">
        <f>VLOOKUP(U39,'Tax Table'!$B$5:$E$11,4,TRUE)+(U39-VLOOKUP(U39,'Tax Table'!$B$5:$E$11,1,TRUE))*VLOOKUP(U39,'Tax Table'!$B$5:$E$11,3,TRUE)</f>
        <v>81143.711073031052</v>
      </c>
      <c r="V40" s="47">
        <f>VLOOKUP(V39,'Tax Table'!$B$5:$E$11,4,TRUE)+(V39-VLOOKUP(V39,'Tax Table'!$B$5:$E$11,1,TRUE))*VLOOKUP(V39,'Tax Table'!$B$5:$E$11,3,TRUE)</f>
        <v>85442.185492112345</v>
      </c>
      <c r="W40" s="47">
        <f>VLOOKUP(W39,'Tax Table'!$B$5:$E$11,4,TRUE)+(W39-VLOOKUP(W39,'Tax Table'!$B$5:$E$11,1,TRUE))*VLOOKUP(W39,'Tax Table'!$B$5:$E$11,3,TRUE)</f>
        <v>89994.690583962656</v>
      </c>
      <c r="X40" s="47">
        <f>VLOOKUP(X39,'Tax Table'!$B$5:$E$11,4,TRUE)+(X39-VLOOKUP(X39,'Tax Table'!$B$5:$E$11,1,TRUE))*VLOOKUP(X39,'Tax Table'!$B$5:$E$11,3,TRUE)</f>
        <v>94895.130847160181</v>
      </c>
      <c r="Y40" s="47">
        <f>VLOOKUP(Y39,'Tax Table'!$B$5:$E$11,4,TRUE)+(Y39-VLOOKUP(Y39,'Tax Table'!$B$5:$E$11,1,TRUE))*VLOOKUP(Y39,'Tax Table'!$B$5:$E$11,3,TRUE)</f>
        <v>100187.12289531677</v>
      </c>
      <c r="Z40" s="47">
        <f>VLOOKUP(Z39,'Tax Table'!$B$5:$E$11,4,TRUE)+(Z39-VLOOKUP(Z39,'Tax Table'!$B$5:$E$11,1,TRUE))*VLOOKUP(Z39,'Tax Table'!$B$5:$E$11,3,TRUE)</f>
        <v>105550.58694462638</v>
      </c>
      <c r="AA40" s="47">
        <f>VLOOKUP(AA39,'Tax Table'!$B$5:$E$11,4,TRUE)+(AA39-VLOOKUP(AA39,'Tax Table'!$B$5:$E$11,1,TRUE))*VLOOKUP(AA39,'Tax Table'!$B$5:$E$11,3,TRUE)</f>
        <v>110747.81507469527</v>
      </c>
      <c r="AB40" s="47">
        <f>VLOOKUP(AB39,'Tax Table'!$B$5:$E$11,4,TRUE)+(AB39-VLOOKUP(AB39,'Tax Table'!$B$5:$E$11,1,TRUE))*VLOOKUP(AB39,'Tax Table'!$B$5:$E$11,3,TRUE)</f>
        <v>116573.9955923488</v>
      </c>
      <c r="AC40" s="47">
        <f>VLOOKUP(AC39,'Tax Table'!$B$5:$E$11,4,TRUE)+(AC39-VLOOKUP(AC39,'Tax Table'!$B$5:$E$11,1,TRUE))*VLOOKUP(AC39,'Tax Table'!$B$5:$E$11,3,TRUE)</f>
        <v>122647.009137959</v>
      </c>
      <c r="AD40" s="47">
        <f>VLOOKUP(AD39,'Tax Table'!$B$5:$E$11,4,TRUE)+(AD39-VLOOKUP(AD39,'Tax Table'!$B$5:$E$11,1,TRUE))*VLOOKUP(AD39,'Tax Table'!$B$5:$E$11,3,TRUE)</f>
        <v>129242.75447133691</v>
      </c>
      <c r="AE40" s="47">
        <f>VLOOKUP(AE39,'Tax Table'!$B$5:$E$11,4,TRUE)+(AE39-VLOOKUP(AE39,'Tax Table'!$B$5:$E$11,1,TRUE))*VLOOKUP(AE39,'Tax Table'!$B$5:$E$11,3,TRUE)</f>
        <v>135422.05266009414</v>
      </c>
      <c r="AF40" s="47">
        <f>VLOOKUP(AF39,'Tax Table'!$B$5:$E$11,4,TRUE)+(AF39-VLOOKUP(AF39,'Tax Table'!$B$5:$E$11,1,TRUE))*VLOOKUP(AF39,'Tax Table'!$B$5:$E$11,3,TRUE)</f>
        <v>141401.83880838309</v>
      </c>
      <c r="AG40" s="47">
        <f>VLOOKUP(AG39,'Tax Table'!$B$5:$E$11,4,TRUE)+(AG39-VLOOKUP(AG39,'Tax Table'!$B$5:$E$11,1,TRUE))*VLOOKUP(AG39,'Tax Table'!$B$5:$E$11,3,TRUE)</f>
        <v>147859.52528457955</v>
      </c>
      <c r="AH40" s="47">
        <f>VLOOKUP(AH39,'Tax Table'!$B$5:$E$11,4,TRUE)+(AH39-VLOOKUP(AH39,'Tax Table'!$B$5:$E$11,1,TRUE))*VLOOKUP(AH39,'Tax Table'!$B$5:$E$11,3,TRUE)</f>
        <v>153131.84331039322</v>
      </c>
      <c r="AI40" s="47">
        <f>VLOOKUP(AI39,'Tax Table'!$B$5:$E$11,4,TRUE)+(AI39-VLOOKUP(AI39,'Tax Table'!$B$5:$E$11,1,TRUE))*VLOOKUP(AI39,'Tax Table'!$B$5:$E$11,3,TRUE)</f>
        <v>159334.6728682688</v>
      </c>
      <c r="AJ40" s="47">
        <f>VLOOKUP(AJ39,'Tax Table'!$B$5:$E$11,4,TRUE)+(AJ39-VLOOKUP(AJ39,'Tax Table'!$B$5:$E$11,1,TRUE))*VLOOKUP(AJ39,'Tax Table'!$B$5:$E$11,3,TRUE)</f>
        <v>164051.11163913441</v>
      </c>
    </row>
    <row r="41" spans="1:521" x14ac:dyDescent="0.2">
      <c r="A41" s="46" t="s">
        <v>24</v>
      </c>
      <c r="B41" s="46"/>
      <c r="C41" s="48">
        <f>VLOOKUP(C39,'Tax Table'!$B$5:$E$11,3,TRUE)</f>
        <v>0.22</v>
      </c>
      <c r="D41" s="48">
        <f>VLOOKUP(D39,'Tax Table'!$B$5:$E$11,3,TRUE)</f>
        <v>0.22</v>
      </c>
      <c r="E41" s="48">
        <f>VLOOKUP(E39,'Tax Table'!$B$5:$E$11,3,TRUE)</f>
        <v>0.22</v>
      </c>
      <c r="F41" s="48">
        <f>VLOOKUP(F39,'Tax Table'!$B$5:$E$11,3,TRUE)</f>
        <v>0.22</v>
      </c>
      <c r="G41" s="48">
        <f>VLOOKUP(G39,'Tax Table'!$B$5:$E$11,3,TRUE)</f>
        <v>0.22</v>
      </c>
      <c r="H41" s="48">
        <f>VLOOKUP(H39,'Tax Table'!$B$5:$E$11,3,TRUE)</f>
        <v>0.22</v>
      </c>
      <c r="I41" s="48">
        <f>VLOOKUP(I39,'Tax Table'!$B$5:$E$11,3,TRUE)</f>
        <v>0.22</v>
      </c>
      <c r="J41" s="48">
        <f>VLOOKUP(J39,'Tax Table'!$B$5:$E$11,3,TRUE)</f>
        <v>0.12</v>
      </c>
      <c r="K41" s="48">
        <f>VLOOKUP(K39,'Tax Table'!$B$5:$E$11,3,TRUE)</f>
        <v>0.22</v>
      </c>
      <c r="L41" s="48">
        <f>VLOOKUP(L39,'Tax Table'!$B$5:$E$11,3,TRUE)</f>
        <v>0.22</v>
      </c>
      <c r="M41" s="48">
        <f>VLOOKUP(M39,'Tax Table'!$B$5:$E$11,3,TRUE)</f>
        <v>0.22</v>
      </c>
      <c r="N41" s="48">
        <f>VLOOKUP(N39,'Tax Table'!$B$5:$E$11,3,TRUE)</f>
        <v>0.22</v>
      </c>
      <c r="O41" s="48">
        <f>VLOOKUP(O39,'Tax Table'!$B$5:$E$11,3,TRUE)</f>
        <v>0.22</v>
      </c>
      <c r="P41" s="48">
        <f>VLOOKUP(P39,'Tax Table'!$B$5:$E$11,3,TRUE)</f>
        <v>0.22</v>
      </c>
      <c r="Q41" s="48">
        <f>VLOOKUP(Q39,'Tax Table'!$B$5:$E$11,3,TRUE)</f>
        <v>0.22</v>
      </c>
      <c r="R41" s="48">
        <f>VLOOKUP(R39,'Tax Table'!$B$5:$E$11,3,TRUE)</f>
        <v>0.24</v>
      </c>
      <c r="S41" s="48">
        <f>VLOOKUP(S39,'Tax Table'!$B$5:$E$11,3,TRUE)</f>
        <v>0.24</v>
      </c>
      <c r="T41" s="48">
        <f>VLOOKUP(T39,'Tax Table'!$B$5:$E$11,3,TRUE)</f>
        <v>0.24</v>
      </c>
      <c r="U41" s="48">
        <f>VLOOKUP(U39,'Tax Table'!$B$5:$E$11,3,TRUE)</f>
        <v>0.24</v>
      </c>
      <c r="V41" s="48">
        <f>VLOOKUP(V39,'Tax Table'!$B$5:$E$11,3,TRUE)</f>
        <v>0.32</v>
      </c>
      <c r="W41" s="48">
        <f>VLOOKUP(W39,'Tax Table'!$B$5:$E$11,3,TRUE)</f>
        <v>0.32</v>
      </c>
      <c r="X41" s="48">
        <f>VLOOKUP(X39,'Tax Table'!$B$5:$E$11,3,TRUE)</f>
        <v>0.32</v>
      </c>
      <c r="Y41" s="48">
        <f>VLOOKUP(Y39,'Tax Table'!$B$5:$E$11,3,TRUE)</f>
        <v>0.32</v>
      </c>
      <c r="Z41" s="48">
        <f>VLOOKUP(Z39,'Tax Table'!$B$5:$E$11,3,TRUE)</f>
        <v>0.32</v>
      </c>
      <c r="AA41" s="48">
        <f>VLOOKUP(AA39,'Tax Table'!$B$5:$E$11,3,TRUE)</f>
        <v>0.32</v>
      </c>
      <c r="AB41" s="48">
        <f>VLOOKUP(AB39,'Tax Table'!$B$5:$E$11,3,TRUE)</f>
        <v>0.32</v>
      </c>
      <c r="AC41" s="48">
        <f>VLOOKUP(AC39,'Tax Table'!$B$5:$E$11,3,TRUE)</f>
        <v>0.35</v>
      </c>
      <c r="AD41" s="48">
        <f>VLOOKUP(AD39,'Tax Table'!$B$5:$E$11,3,TRUE)</f>
        <v>0.35</v>
      </c>
      <c r="AE41" s="48">
        <f>VLOOKUP(AE39,'Tax Table'!$B$5:$E$11,3,TRUE)</f>
        <v>0.35</v>
      </c>
      <c r="AF41" s="48">
        <f>VLOOKUP(AF39,'Tax Table'!$B$5:$E$11,3,TRUE)</f>
        <v>0.35</v>
      </c>
      <c r="AG41" s="48">
        <f>VLOOKUP(AG39,'Tax Table'!$B$5:$E$11,3,TRUE)</f>
        <v>0.35</v>
      </c>
      <c r="AH41" s="48">
        <f>VLOOKUP(AH39,'Tax Table'!$B$5:$E$11,3,TRUE)</f>
        <v>0.35</v>
      </c>
      <c r="AI41" s="48">
        <f>VLOOKUP(AI39,'Tax Table'!$B$5:$E$11,3,TRUE)</f>
        <v>0.35</v>
      </c>
      <c r="AJ41" s="48">
        <f>VLOOKUP(AJ39,'Tax Table'!$B$5:$E$11,3,TRUE)</f>
        <v>0.35</v>
      </c>
    </row>
    <row r="42" spans="1:521" x14ac:dyDescent="0.2">
      <c r="A42" s="46" t="s">
        <v>30</v>
      </c>
      <c r="B42" s="46"/>
      <c r="C42" s="48">
        <f>C40/C39</f>
        <v>0.14065018081418904</v>
      </c>
      <c r="D42" s="48">
        <f t="shared" ref="D42:AJ42" si="67">D40/D39</f>
        <v>0.14065018081418904</v>
      </c>
      <c r="E42" s="48">
        <f t="shared" si="67"/>
        <v>0.14065018081418904</v>
      </c>
      <c r="F42" s="48">
        <f t="shared" si="67"/>
        <v>0.14065018081418904</v>
      </c>
      <c r="G42" s="48">
        <f t="shared" si="67"/>
        <v>0.14065018081418904</v>
      </c>
      <c r="H42" s="48">
        <f t="shared" si="67"/>
        <v>0.14065018081418904</v>
      </c>
      <c r="I42" s="48">
        <f t="shared" si="67"/>
        <v>0.14065018081418904</v>
      </c>
      <c r="J42" s="48">
        <f t="shared" si="67"/>
        <v>0.11505294856709809</v>
      </c>
      <c r="K42" s="48">
        <f t="shared" si="67"/>
        <v>0.14036358220277734</v>
      </c>
      <c r="L42" s="48">
        <f t="shared" si="67"/>
        <v>0.141479897980999</v>
      </c>
      <c r="M42" s="48">
        <f t="shared" si="67"/>
        <v>0.14253586792470307</v>
      </c>
      <c r="N42" s="48">
        <f t="shared" si="67"/>
        <v>0.14370869663999425</v>
      </c>
      <c r="O42" s="48">
        <f t="shared" si="67"/>
        <v>0.14490957078744982</v>
      </c>
      <c r="P42" s="48">
        <f t="shared" si="67"/>
        <v>0.16821156001068244</v>
      </c>
      <c r="Q42" s="48">
        <f t="shared" si="67"/>
        <v>0.16907402740739069</v>
      </c>
      <c r="R42" s="48">
        <f t="shared" si="67"/>
        <v>0.17001004814737114</v>
      </c>
      <c r="S42" s="48">
        <f t="shared" si="67"/>
        <v>0.20021870163781771</v>
      </c>
      <c r="T42" s="48">
        <f t="shared" si="67"/>
        <v>0.20165628634220534</v>
      </c>
      <c r="U42" s="48">
        <f t="shared" si="67"/>
        <v>0.20296932284363622</v>
      </c>
      <c r="V42" s="48">
        <f t="shared" si="67"/>
        <v>0.20630344127905859</v>
      </c>
      <c r="W42" s="48">
        <f t="shared" si="67"/>
        <v>0.21007928600480535</v>
      </c>
      <c r="X42" s="48">
        <f t="shared" si="67"/>
        <v>0.21387310767491899</v>
      </c>
      <c r="Y42" s="48">
        <f t="shared" si="67"/>
        <v>0.21768652462508289</v>
      </c>
      <c r="Z42" s="48">
        <f t="shared" si="67"/>
        <v>0.22128164108600179</v>
      </c>
      <c r="AA42" s="48">
        <f t="shared" si="67"/>
        <v>0.22453223912972139</v>
      </c>
      <c r="AB42" s="48">
        <f t="shared" si="67"/>
        <v>0.22793077596719255</v>
      </c>
      <c r="AC42" s="48">
        <f t="shared" si="67"/>
        <v>0.23189842667818061</v>
      </c>
      <c r="AD42" s="48">
        <f t="shared" si="67"/>
        <v>0.23596180274183925</v>
      </c>
      <c r="AE42" s="48">
        <f t="shared" si="67"/>
        <v>0.23952286059593322</v>
      </c>
      <c r="AF42" s="48">
        <f t="shared" si="67"/>
        <v>0.2427634066282969</v>
      </c>
      <c r="AG42" s="48">
        <f t="shared" si="67"/>
        <v>0.24605598826833619</v>
      </c>
      <c r="AH42" s="48">
        <f t="shared" si="67"/>
        <v>0.24859792666325592</v>
      </c>
      <c r="AI42" s="48">
        <f t="shared" si="67"/>
        <v>0.25143376813447949</v>
      </c>
      <c r="AJ42" s="48">
        <f t="shared" si="67"/>
        <v>0.25348610807169375</v>
      </c>
    </row>
    <row r="43" spans="1:521" x14ac:dyDescent="0.2">
      <c r="A43" s="46" t="s">
        <v>29</v>
      </c>
      <c r="B43" s="46"/>
      <c r="C43" s="49">
        <f>0.055*C39</f>
        <v>7330.7300000000005</v>
      </c>
      <c r="D43" s="49">
        <f t="shared" ref="D43:G43" si="68">0.055*D39</f>
        <v>7330.7300000000005</v>
      </c>
      <c r="E43" s="49">
        <f t="shared" si="68"/>
        <v>7330.7300000000005</v>
      </c>
      <c r="F43" s="49">
        <f t="shared" si="68"/>
        <v>7330.7300000000005</v>
      </c>
      <c r="G43" s="49">
        <f t="shared" si="68"/>
        <v>7330.7300000000005</v>
      </c>
      <c r="H43" s="49">
        <f>0.06*H39</f>
        <v>7997.16</v>
      </c>
      <c r="I43" s="49">
        <f t="shared" ref="I43:AJ43" si="69">0.06*I39</f>
        <v>7997.16</v>
      </c>
      <c r="J43" s="49">
        <f t="shared" si="69"/>
        <v>6017.16</v>
      </c>
      <c r="K43" s="49">
        <f t="shared" si="69"/>
        <v>7968.3795121951216</v>
      </c>
      <c r="L43" s="49">
        <f t="shared" si="69"/>
        <v>8081.6655058145516</v>
      </c>
      <c r="M43" s="49">
        <f t="shared" si="69"/>
        <v>8191.8325681772312</v>
      </c>
      <c r="N43" s="49">
        <f t="shared" si="69"/>
        <v>8317.7658796253127</v>
      </c>
      <c r="O43" s="49">
        <f t="shared" si="69"/>
        <v>8450.7866935183411</v>
      </c>
      <c r="P43" s="49">
        <f t="shared" si="69"/>
        <v>12253.182372956082</v>
      </c>
      <c r="Q43" s="49">
        <f t="shared" si="69"/>
        <v>12460.698690555651</v>
      </c>
      <c r="R43" s="49">
        <f t="shared" si="69"/>
        <v>12691.170324996254</v>
      </c>
      <c r="S43" s="49">
        <f t="shared" si="69"/>
        <v>22328.441669073603</v>
      </c>
      <c r="T43" s="49">
        <f t="shared" si="69"/>
        <v>23165.580880542391</v>
      </c>
      <c r="U43" s="49">
        <f t="shared" si="69"/>
        <v>23986.987768257764</v>
      </c>
      <c r="V43" s="49">
        <f t="shared" si="69"/>
        <v>24849.469779771061</v>
      </c>
      <c r="W43" s="49">
        <f t="shared" si="69"/>
        <v>25703.064484492996</v>
      </c>
      <c r="X43" s="49">
        <f t="shared" si="69"/>
        <v>26621.897033842532</v>
      </c>
      <c r="Y43" s="49">
        <f t="shared" si="69"/>
        <v>27614.145542871895</v>
      </c>
      <c r="Z43" s="49">
        <f t="shared" si="69"/>
        <v>28619.795052117446</v>
      </c>
      <c r="AA43" s="49">
        <f t="shared" si="69"/>
        <v>29594.275326505362</v>
      </c>
      <c r="AB43" s="49">
        <f t="shared" si="69"/>
        <v>30686.684173565398</v>
      </c>
      <c r="AC43" s="49">
        <f t="shared" si="69"/>
        <v>31732.947280792971</v>
      </c>
      <c r="AD43" s="49">
        <f t="shared" si="69"/>
        <v>32863.646480800613</v>
      </c>
      <c r="AE43" s="49">
        <f t="shared" si="69"/>
        <v>33922.95474173042</v>
      </c>
      <c r="AF43" s="49">
        <f t="shared" si="69"/>
        <v>34948.060938579954</v>
      </c>
      <c r="AG43" s="49">
        <f t="shared" si="69"/>
        <v>36055.092905927922</v>
      </c>
      <c r="AH43" s="49">
        <f t="shared" si="69"/>
        <v>36958.918853210271</v>
      </c>
      <c r="AI43" s="49">
        <f t="shared" si="69"/>
        <v>38022.261063131795</v>
      </c>
      <c r="AJ43" s="49">
        <f t="shared" si="69"/>
        <v>38830.79342385161</v>
      </c>
    </row>
    <row r="44" spans="1:521" x14ac:dyDescent="0.2">
      <c r="A44" s="46" t="s">
        <v>31</v>
      </c>
      <c r="B44" s="46"/>
      <c r="C44" s="48">
        <f>(C43+C40)/C39</f>
        <v>0.19565018081418903</v>
      </c>
      <c r="D44" s="48">
        <f t="shared" ref="D44:AJ44" si="70">(D43+D40)/D39</f>
        <v>0.19565018081418903</v>
      </c>
      <c r="E44" s="48">
        <f t="shared" si="70"/>
        <v>0.19565018081418903</v>
      </c>
      <c r="F44" s="48">
        <f t="shared" si="70"/>
        <v>0.19565018081418903</v>
      </c>
      <c r="G44" s="48">
        <f t="shared" si="70"/>
        <v>0.19565018081418903</v>
      </c>
      <c r="H44" s="48">
        <f t="shared" si="70"/>
        <v>0.20065018081418903</v>
      </c>
      <c r="I44" s="48">
        <f t="shared" si="70"/>
        <v>0.20065018081418903</v>
      </c>
      <c r="J44" s="48">
        <f t="shared" si="70"/>
        <v>0.1750529485670981</v>
      </c>
      <c r="K44" s="48">
        <f t="shared" si="70"/>
        <v>0.20036358220277733</v>
      </c>
      <c r="L44" s="48">
        <f t="shared" si="70"/>
        <v>0.201479897980999</v>
      </c>
      <c r="M44" s="48">
        <f t="shared" si="70"/>
        <v>0.20253586792470307</v>
      </c>
      <c r="N44" s="48">
        <f t="shared" si="70"/>
        <v>0.20370869663999425</v>
      </c>
      <c r="O44" s="48">
        <f t="shared" si="70"/>
        <v>0.20490957078744981</v>
      </c>
      <c r="P44" s="48">
        <f t="shared" si="70"/>
        <v>0.22821156001068246</v>
      </c>
      <c r="Q44" s="48">
        <f t="shared" si="70"/>
        <v>0.22907402740739072</v>
      </c>
      <c r="R44" s="48">
        <f t="shared" si="70"/>
        <v>0.23001004814737114</v>
      </c>
      <c r="S44" s="48">
        <f t="shared" si="70"/>
        <v>0.26021870163781774</v>
      </c>
      <c r="T44" s="48">
        <f t="shared" si="70"/>
        <v>0.26165628634220534</v>
      </c>
      <c r="U44" s="48">
        <f t="shared" si="70"/>
        <v>0.26296932284363622</v>
      </c>
      <c r="V44" s="48">
        <f t="shared" si="70"/>
        <v>0.26630344127905858</v>
      </c>
      <c r="W44" s="48">
        <f t="shared" si="70"/>
        <v>0.27007928600480535</v>
      </c>
      <c r="X44" s="48">
        <f t="shared" si="70"/>
        <v>0.27387310767491896</v>
      </c>
      <c r="Y44" s="48">
        <f t="shared" si="70"/>
        <v>0.27768652462508292</v>
      </c>
      <c r="Z44" s="48">
        <f t="shared" si="70"/>
        <v>0.28128164108600179</v>
      </c>
      <c r="AA44" s="48">
        <f t="shared" si="70"/>
        <v>0.28453223912972142</v>
      </c>
      <c r="AB44" s="48">
        <f t="shared" si="70"/>
        <v>0.28793077596719252</v>
      </c>
      <c r="AC44" s="48">
        <f t="shared" si="70"/>
        <v>0.29189842667818061</v>
      </c>
      <c r="AD44" s="48">
        <f t="shared" si="70"/>
        <v>0.29596180274183931</v>
      </c>
      <c r="AE44" s="48">
        <f t="shared" si="70"/>
        <v>0.29952286059593319</v>
      </c>
      <c r="AF44" s="48">
        <f t="shared" si="70"/>
        <v>0.30276340662829693</v>
      </c>
      <c r="AG44" s="48">
        <f t="shared" si="70"/>
        <v>0.30605598826833619</v>
      </c>
      <c r="AH44" s="48">
        <f t="shared" si="70"/>
        <v>0.30859792666325597</v>
      </c>
      <c r="AI44" s="48">
        <f t="shared" si="70"/>
        <v>0.31143376813447948</v>
      </c>
      <c r="AJ44" s="48">
        <f t="shared" si="70"/>
        <v>0.31348610807169369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FCF7-2596-F748-957F-8B37D7000154}">
  <dimension ref="A1:TB52"/>
  <sheetViews>
    <sheetView zoomScale="130" zoomScaleNormal="130" zoomScalePageLayoutView="125" workbookViewId="0">
      <pane xSplit="1" ySplit="6" topLeftCell="K24" activePane="bottomRight" state="frozen"/>
      <selection activeCell="K41" sqref="K41"/>
      <selection pane="topRight" activeCell="K41" sqref="K41"/>
      <selection pane="bottomLeft" activeCell="K41" sqref="K41"/>
      <selection pane="bottomRight" activeCell="J39" sqref="J39"/>
    </sheetView>
  </sheetViews>
  <sheetFormatPr baseColWidth="10" defaultRowHeight="16" x14ac:dyDescent="0.2"/>
  <cols>
    <col min="1" max="1" width="29.5" bestFit="1" customWidth="1"/>
    <col min="2" max="2" width="3.1640625" customWidth="1"/>
    <col min="3" max="7" width="13.83203125" hidden="1" customWidth="1"/>
    <col min="8" max="36" width="13.83203125" customWidth="1"/>
  </cols>
  <sheetData>
    <row r="1" spans="1:522" x14ac:dyDescent="0.2">
      <c r="D1" s="3"/>
    </row>
    <row r="3" spans="1:522" s="1" customFormat="1" x14ac:dyDescent="0.2">
      <c r="C3" s="1">
        <v>2019</v>
      </c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  <c r="AI3" s="1">
        <v>2051</v>
      </c>
      <c r="AJ3" s="1">
        <v>2052</v>
      </c>
    </row>
    <row r="4" spans="1:522" x14ac:dyDescent="0.2">
      <c r="A4" t="s">
        <v>1</v>
      </c>
      <c r="C4">
        <v>57</v>
      </c>
      <c r="D4">
        <v>58</v>
      </c>
      <c r="E4">
        <v>59</v>
      </c>
      <c r="F4">
        <v>60</v>
      </c>
      <c r="G4">
        <v>61</v>
      </c>
      <c r="H4">
        <v>62</v>
      </c>
      <c r="I4">
        <v>63</v>
      </c>
      <c r="J4">
        <v>64</v>
      </c>
      <c r="K4">
        <v>65</v>
      </c>
      <c r="L4">
        <v>66</v>
      </c>
      <c r="M4">
        <v>67</v>
      </c>
      <c r="N4">
        <v>68</v>
      </c>
      <c r="O4">
        <v>69</v>
      </c>
      <c r="P4">
        <v>70</v>
      </c>
      <c r="Q4">
        <v>71</v>
      </c>
      <c r="R4">
        <v>72</v>
      </c>
      <c r="S4">
        <v>73</v>
      </c>
      <c r="T4">
        <v>74</v>
      </c>
      <c r="U4">
        <v>75</v>
      </c>
      <c r="V4">
        <v>76</v>
      </c>
      <c r="W4">
        <v>77</v>
      </c>
      <c r="X4">
        <v>78</v>
      </c>
      <c r="Y4">
        <v>79</v>
      </c>
      <c r="Z4">
        <v>80</v>
      </c>
      <c r="AA4">
        <v>81</v>
      </c>
      <c r="AB4">
        <v>82</v>
      </c>
      <c r="AC4">
        <v>83</v>
      </c>
      <c r="AD4">
        <v>84</v>
      </c>
      <c r="AE4">
        <v>85</v>
      </c>
      <c r="AF4">
        <v>86</v>
      </c>
      <c r="AG4">
        <v>87</v>
      </c>
      <c r="AH4">
        <v>88</v>
      </c>
      <c r="AI4">
        <v>89</v>
      </c>
      <c r="AJ4">
        <v>90</v>
      </c>
    </row>
    <row r="5" spans="1:522" hidden="1" x14ac:dyDescent="0.2"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</row>
    <row r="6" spans="1:522" ht="17" thickBot="1" x14ac:dyDescent="0.25">
      <c r="A6" t="s">
        <v>2</v>
      </c>
      <c r="C6">
        <v>67</v>
      </c>
      <c r="D6">
        <v>68</v>
      </c>
      <c r="E6">
        <v>69</v>
      </c>
      <c r="F6">
        <v>70</v>
      </c>
      <c r="G6">
        <v>71</v>
      </c>
      <c r="H6">
        <v>72</v>
      </c>
      <c r="I6">
        <v>73</v>
      </c>
      <c r="J6">
        <v>74</v>
      </c>
      <c r="K6">
        <v>75</v>
      </c>
      <c r="L6">
        <v>76</v>
      </c>
      <c r="M6">
        <v>77</v>
      </c>
      <c r="N6">
        <v>78</v>
      </c>
      <c r="O6">
        <v>79</v>
      </c>
      <c r="P6">
        <v>80</v>
      </c>
      <c r="Q6">
        <v>81</v>
      </c>
      <c r="R6">
        <v>82</v>
      </c>
      <c r="S6">
        <v>83</v>
      </c>
      <c r="T6">
        <v>84</v>
      </c>
      <c r="U6">
        <v>85</v>
      </c>
      <c r="V6">
        <v>86</v>
      </c>
      <c r="W6">
        <v>87</v>
      </c>
      <c r="X6">
        <v>88</v>
      </c>
      <c r="Y6">
        <v>89</v>
      </c>
      <c r="Z6">
        <v>90</v>
      </c>
      <c r="AA6">
        <v>91</v>
      </c>
      <c r="AB6">
        <v>92</v>
      </c>
      <c r="AC6">
        <v>93</v>
      </c>
      <c r="AD6">
        <v>94</v>
      </c>
      <c r="AE6">
        <v>95</v>
      </c>
      <c r="AF6">
        <v>96</v>
      </c>
      <c r="AG6">
        <v>97</v>
      </c>
      <c r="AH6">
        <v>98</v>
      </c>
      <c r="AI6">
        <v>99</v>
      </c>
      <c r="AJ6">
        <v>100</v>
      </c>
    </row>
    <row r="7" spans="1:522" ht="16" customHeight="1" thickBot="1" x14ac:dyDescent="0.25">
      <c r="I7" s="22" t="s">
        <v>17</v>
      </c>
      <c r="J7" s="23">
        <v>1.06</v>
      </c>
      <c r="L7" s="22" t="s">
        <v>43</v>
      </c>
      <c r="M7" s="23">
        <v>1.03</v>
      </c>
      <c r="O7" s="61" t="s">
        <v>45</v>
      </c>
      <c r="P7" s="61"/>
      <c r="Q7" s="62">
        <v>325000</v>
      </c>
      <c r="S7" s="61" t="s">
        <v>55</v>
      </c>
      <c r="T7" s="61">
        <v>1.04</v>
      </c>
    </row>
    <row r="8" spans="1:522" s="6" customFormat="1" ht="17" thickBot="1" x14ac:dyDescent="0.25">
      <c r="A8" s="18" t="s">
        <v>0</v>
      </c>
      <c r="B8" s="19"/>
      <c r="C8" s="19"/>
      <c r="D8" s="19"/>
      <c r="E8" s="19"/>
      <c r="F8" s="19"/>
      <c r="G8" s="19"/>
      <c r="H8" s="19"/>
      <c r="I8" s="19"/>
      <c r="J8" s="19"/>
      <c r="K8"/>
      <c r="L8"/>
      <c r="M8"/>
      <c r="N8"/>
      <c r="O8"/>
      <c r="P8"/>
      <c r="Q8"/>
      <c r="R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 s="15"/>
    </row>
    <row r="9" spans="1:522" s="4" customFormat="1" x14ac:dyDescent="0.2">
      <c r="A9" s="16" t="s">
        <v>3</v>
      </c>
      <c r="B9" s="16"/>
      <c r="C9" s="17">
        <v>134686</v>
      </c>
      <c r="D9" s="17">
        <v>134686</v>
      </c>
      <c r="E9" s="17">
        <v>134686</v>
      </c>
      <c r="F9" s="17">
        <v>134686</v>
      </c>
      <c r="G9" s="17">
        <v>134686</v>
      </c>
      <c r="H9" s="17">
        <v>134686</v>
      </c>
      <c r="I9" s="17">
        <v>134686</v>
      </c>
      <c r="J9" s="25">
        <v>134686</v>
      </c>
      <c r="K9" s="78">
        <v>134686</v>
      </c>
      <c r="L9" s="79">
        <v>134686</v>
      </c>
      <c r="M9" s="79">
        <v>134686</v>
      </c>
      <c r="N9" s="79">
        <v>134686</v>
      </c>
      <c r="O9" s="79">
        <v>134686</v>
      </c>
      <c r="P9" s="79">
        <v>134686</v>
      </c>
      <c r="Q9" s="79">
        <v>134686</v>
      </c>
      <c r="R9" s="80">
        <v>134686</v>
      </c>
      <c r="S9" s="70">
        <v>134686</v>
      </c>
      <c r="T9" s="17">
        <v>134686</v>
      </c>
      <c r="U9" s="17">
        <v>134686</v>
      </c>
      <c r="V9" s="17">
        <v>134686</v>
      </c>
      <c r="W9" s="17">
        <v>134686</v>
      </c>
      <c r="X9" s="17">
        <v>134686</v>
      </c>
      <c r="Y9" s="17">
        <v>134686</v>
      </c>
      <c r="Z9" s="17">
        <v>134686</v>
      </c>
      <c r="AA9" s="17">
        <v>134686</v>
      </c>
      <c r="AB9" s="17">
        <v>134686</v>
      </c>
      <c r="AC9" s="17">
        <v>134686</v>
      </c>
      <c r="AD9" s="17">
        <v>134686</v>
      </c>
      <c r="AE9" s="17">
        <v>134686</v>
      </c>
      <c r="AF9" s="17">
        <v>134686</v>
      </c>
      <c r="AG9" s="17">
        <v>134686</v>
      </c>
      <c r="AH9" s="17">
        <v>134686</v>
      </c>
      <c r="AI9" s="17">
        <v>134686</v>
      </c>
      <c r="AJ9" s="25">
        <v>134686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28"/>
    </row>
    <row r="10" spans="1:522" s="4" customFormat="1" x14ac:dyDescent="0.2">
      <c r="A10" s="4" t="s">
        <v>4</v>
      </c>
      <c r="C10" s="5">
        <v>22000</v>
      </c>
      <c r="D10" s="5">
        <v>22000</v>
      </c>
      <c r="E10" s="5">
        <v>22000</v>
      </c>
      <c r="F10" s="5">
        <v>22000</v>
      </c>
      <c r="G10" s="5">
        <v>22000</v>
      </c>
      <c r="H10" s="5">
        <v>22000</v>
      </c>
      <c r="I10" s="5">
        <v>22000</v>
      </c>
      <c r="J10" s="26">
        <v>22000</v>
      </c>
      <c r="K10" s="81">
        <v>22000</v>
      </c>
      <c r="L10" s="5">
        <v>22000</v>
      </c>
      <c r="M10" s="5">
        <v>22000</v>
      </c>
      <c r="N10" s="5">
        <v>22000</v>
      </c>
      <c r="O10" s="5">
        <v>22000</v>
      </c>
      <c r="P10" s="5">
        <v>22000</v>
      </c>
      <c r="Q10" s="5">
        <v>22000</v>
      </c>
      <c r="R10" s="82">
        <v>22000</v>
      </c>
      <c r="S10" s="71">
        <v>22000</v>
      </c>
      <c r="T10" s="5">
        <v>22000</v>
      </c>
      <c r="U10" s="5">
        <v>22000</v>
      </c>
      <c r="V10" s="5">
        <v>22000</v>
      </c>
      <c r="W10" s="5">
        <v>22000</v>
      </c>
      <c r="X10" s="5">
        <v>22000</v>
      </c>
      <c r="Y10" s="5">
        <v>22000</v>
      </c>
      <c r="Z10" s="5">
        <v>22000</v>
      </c>
      <c r="AA10" s="5">
        <v>22000</v>
      </c>
      <c r="AB10" s="5">
        <v>22000</v>
      </c>
      <c r="AC10" s="5">
        <v>22000</v>
      </c>
      <c r="AD10" s="5">
        <v>22000</v>
      </c>
      <c r="AE10" s="5">
        <v>22000</v>
      </c>
      <c r="AF10" s="5">
        <v>22000</v>
      </c>
      <c r="AG10" s="5">
        <v>22000</v>
      </c>
      <c r="AH10" s="5">
        <v>22000</v>
      </c>
      <c r="AI10" s="5">
        <v>22000</v>
      </c>
      <c r="AJ10" s="26">
        <v>22000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 s="28"/>
    </row>
    <row r="11" spans="1:522" s="4" customFormat="1" x14ac:dyDescent="0.2">
      <c r="A11" s="4" t="s">
        <v>5</v>
      </c>
      <c r="C11" s="5">
        <v>21600</v>
      </c>
      <c r="D11" s="5">
        <v>21600</v>
      </c>
      <c r="E11" s="5">
        <v>21600</v>
      </c>
      <c r="F11" s="5">
        <v>21600</v>
      </c>
      <c r="G11" s="5">
        <v>21600</v>
      </c>
      <c r="H11" s="5">
        <v>21600</v>
      </c>
      <c r="I11" s="5">
        <v>21600</v>
      </c>
      <c r="J11" s="26">
        <v>21600</v>
      </c>
      <c r="K11" s="81">
        <v>21600</v>
      </c>
      <c r="L11" s="5">
        <v>21600</v>
      </c>
      <c r="M11" s="5">
        <v>21600</v>
      </c>
      <c r="N11" s="5">
        <v>21600</v>
      </c>
      <c r="O11" s="5">
        <v>21600</v>
      </c>
      <c r="P11" s="5">
        <v>21600</v>
      </c>
      <c r="Q11" s="5">
        <v>21600</v>
      </c>
      <c r="R11" s="82">
        <v>21600</v>
      </c>
      <c r="S11" s="71">
        <v>21600</v>
      </c>
      <c r="T11" s="5">
        <v>21600</v>
      </c>
      <c r="U11" s="5">
        <v>21600</v>
      </c>
      <c r="V11" s="5">
        <v>21600</v>
      </c>
      <c r="W11" s="5">
        <v>21600</v>
      </c>
      <c r="X11" s="5">
        <v>21600</v>
      </c>
      <c r="Y11" s="5">
        <v>21600</v>
      </c>
      <c r="Z11" s="5">
        <v>21600</v>
      </c>
      <c r="AA11" s="5">
        <v>21600</v>
      </c>
      <c r="AB11" s="5">
        <v>21600</v>
      </c>
      <c r="AC11" s="5">
        <v>21600</v>
      </c>
      <c r="AD11" s="5">
        <v>21600</v>
      </c>
      <c r="AE11" s="5">
        <v>21600</v>
      </c>
      <c r="AF11" s="5">
        <v>21600</v>
      </c>
      <c r="AG11" s="5">
        <v>21600</v>
      </c>
      <c r="AH11" s="5">
        <v>21600</v>
      </c>
      <c r="AI11" s="5">
        <v>21600</v>
      </c>
      <c r="AJ11" s="26">
        <v>21600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 s="28"/>
    </row>
    <row r="12" spans="1:522" s="4" customFormat="1" x14ac:dyDescent="0.2">
      <c r="A12" s="4" t="s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26">
        <v>0</v>
      </c>
      <c r="K12" s="81"/>
      <c r="L12" s="5"/>
      <c r="M12" s="5"/>
      <c r="N12" s="5"/>
      <c r="O12" s="5"/>
      <c r="P12" s="5">
        <f>5086*12</f>
        <v>61032</v>
      </c>
      <c r="Q12" s="5">
        <f t="shared" ref="Q12:AJ12" si="0">P12*1.02</f>
        <v>62252.639999999999</v>
      </c>
      <c r="R12" s="82">
        <f t="shared" si="0"/>
        <v>63497.692799999997</v>
      </c>
      <c r="S12" s="71">
        <f t="shared" si="0"/>
        <v>64767.646655999997</v>
      </c>
      <c r="T12" s="5">
        <f t="shared" si="0"/>
        <v>66062.999589119994</v>
      </c>
      <c r="U12" s="5">
        <f t="shared" si="0"/>
        <v>67384.259580902391</v>
      </c>
      <c r="V12" s="5">
        <f t="shared" si="0"/>
        <v>68731.944772520437</v>
      </c>
      <c r="W12" s="5">
        <f t="shared" si="0"/>
        <v>70106.583667970845</v>
      </c>
      <c r="X12" s="5">
        <f t="shared" si="0"/>
        <v>71508.715341330259</v>
      </c>
      <c r="Y12" s="5">
        <f t="shared" si="0"/>
        <v>72938.889648156866</v>
      </c>
      <c r="Z12" s="5">
        <f t="shared" si="0"/>
        <v>74397.667441120007</v>
      </c>
      <c r="AA12" s="5">
        <f t="shared" si="0"/>
        <v>75885.620789942404</v>
      </c>
      <c r="AB12" s="5">
        <f t="shared" si="0"/>
        <v>77403.333205741248</v>
      </c>
      <c r="AC12" s="5">
        <f t="shared" si="0"/>
        <v>78951.399869856075</v>
      </c>
      <c r="AD12" s="5">
        <f t="shared" si="0"/>
        <v>80530.427867253195</v>
      </c>
      <c r="AE12" s="5">
        <f t="shared" si="0"/>
        <v>82141.036424598264</v>
      </c>
      <c r="AF12" s="5">
        <f t="shared" si="0"/>
        <v>83783.857153090226</v>
      </c>
      <c r="AG12" s="5">
        <f t="shared" si="0"/>
        <v>85459.534296152036</v>
      </c>
      <c r="AH12" s="5">
        <f t="shared" si="0"/>
        <v>87168.724982075073</v>
      </c>
      <c r="AI12" s="5">
        <f t="shared" si="0"/>
        <v>88912.099481716577</v>
      </c>
      <c r="AJ12" s="5">
        <f t="shared" si="0"/>
        <v>90690.341471350912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28"/>
    </row>
    <row r="13" spans="1:522" s="7" customFormat="1" x14ac:dyDescent="0.2">
      <c r="A13" s="8" t="s">
        <v>7</v>
      </c>
      <c r="B13" s="8"/>
      <c r="C13" s="9"/>
      <c r="D13" s="9"/>
      <c r="E13" s="9"/>
      <c r="F13" s="9"/>
      <c r="G13" s="9"/>
      <c r="H13" s="9"/>
      <c r="I13" s="9"/>
      <c r="J13" s="64"/>
      <c r="K13" s="83">
        <f>J36/VLOOKUP(K6,RMD!$B$4:$C$34,2,TRUE)</f>
        <v>32520.325203252032</v>
      </c>
      <c r="L13" s="9">
        <f>K36/VLOOKUP(L6,RMD!$B$4:$C$34,2,TRUE)</f>
        <v>34408.425096909195</v>
      </c>
      <c r="M13" s="9">
        <f>L36/VLOOKUP(M6,RMD!$B$4:$C$34,2,TRUE)</f>
        <v>36244.542802953874</v>
      </c>
      <c r="N13" s="9">
        <f>M36/VLOOKUP(N6,RMD!$B$4:$C$34,2,TRUE)</f>
        <v>38343.431327088569</v>
      </c>
      <c r="O13" s="9">
        <f>N36/VLOOKUP(O6,RMD!$B$4:$C$34,2,TRUE)</f>
        <v>40560.444891972358</v>
      </c>
      <c r="P13" s="9">
        <f>O36/VLOOKUP(P6,RMD!$B$4:$C$34,2,TRUE)</f>
        <v>42901.706215934733</v>
      </c>
      <c r="Q13" s="9">
        <f>P36/VLOOKUP(Q6,RMD!$B$4:$C$34,2,TRUE)</f>
        <v>45139.671509260814</v>
      </c>
      <c r="R13" s="84">
        <f>Q36/VLOOKUP(R6,RMD!$B$4:$C$34,2,TRUE)</f>
        <v>47735.812616604249</v>
      </c>
      <c r="S13" s="72">
        <f>R36/VLOOKUP(S6,RMD!$B$4:$C$34,2,TRUE)</f>
        <v>50190.026711582206</v>
      </c>
      <c r="T13" s="9">
        <f>S36/VLOOKUP(T6,RMD!$B$4:$C$34,2,TRUE)</f>
        <v>53064.003241138285</v>
      </c>
      <c r="U13" s="9">
        <f>T36/VLOOKUP(U6,RMD!$B$4:$C$34,2,TRUE)</f>
        <v>55743.735404815772</v>
      </c>
      <c r="V13" s="9">
        <f>U36/VLOOKUP(V6,RMD!$B$4:$C$34,2,TRUE)</f>
        <v>58530.92217505657</v>
      </c>
      <c r="W13" s="9">
        <f>V36/VLOOKUP(W6,RMD!$B$4:$C$34,2,TRUE)</f>
        <v>61424.95110482326</v>
      </c>
      <c r="X13" s="9">
        <f>W36/VLOOKUP(X6,RMD!$B$4:$C$34,2,TRUE)</f>
        <v>63953.686318189713</v>
      </c>
      <c r="Y13" s="9">
        <f>X36/VLOOKUP(Y6,RMD!$B$4:$C$34,2,TRUE)</f>
        <v>67037.344681748931</v>
      </c>
      <c r="Z13" s="9">
        <f>Y36/VLOOKUP(Z6,RMD!$B$4:$C$34,2,TRUE)</f>
        <v>69641.910368564437</v>
      </c>
      <c r="AA13" s="9">
        <f>Z36/VLOOKUP(AA6,RMD!$B$4:$C$34,2,TRUE)</f>
        <v>72258.023871105295</v>
      </c>
      <c r="AB13" s="9">
        <f>AA36/VLOOKUP(AB6,RMD!$B$4:$C$34,2,TRUE)</f>
        <v>74867.341399784098</v>
      </c>
      <c r="AC13" s="9">
        <f>AB36/VLOOKUP(AC6,RMD!$B$4:$C$34,2,TRUE)</f>
        <v>77446.92900444995</v>
      </c>
      <c r="AD13" s="9">
        <f>AC36/VLOOKUP(AD6,RMD!$B$4:$C$34,2,TRUE)</f>
        <v>79126.30451759907</v>
      </c>
      <c r="AE13" s="9">
        <f>AD36/VLOOKUP(AE6,RMD!$B$4:$C$34,2,TRUE)</f>
        <v>80637.705839845352</v>
      </c>
      <c r="AF13" s="9">
        <f>AE36/VLOOKUP(AF6,RMD!$B$4:$C$34,2,TRUE)</f>
        <v>80964.096553959011</v>
      </c>
      <c r="AG13" s="9">
        <f>AF36/VLOOKUP(AG6,RMD!$B$4:$C$34,2,TRUE)</f>
        <v>82043.617841345142</v>
      </c>
      <c r="AH13" s="9">
        <f>AG36/VLOOKUP(AH6,RMD!$B$4:$C$34,2,TRUE)</f>
        <v>81683.974585054311</v>
      </c>
      <c r="AI13" s="9">
        <f>AH36/VLOOKUP(AI6,RMD!$B$4:$C$34,2,TRUE)</f>
        <v>80939.208934425871</v>
      </c>
      <c r="AJ13" s="9">
        <f>AI36/VLOOKUP(AJ6,RMD!$B$4:$C$34,2,TRUE)</f>
        <v>78511.032666393105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 s="29"/>
    </row>
    <row r="14" spans="1:522" s="8" customFormat="1" x14ac:dyDescent="0.2">
      <c r="A14" s="8" t="s">
        <v>35</v>
      </c>
      <c r="C14" s="9"/>
      <c r="D14" s="9"/>
      <c r="E14" s="9"/>
      <c r="F14" s="9"/>
      <c r="G14" s="9"/>
      <c r="H14" s="9"/>
      <c r="I14" s="9"/>
      <c r="J14" s="64"/>
      <c r="K14" s="83"/>
      <c r="L14" s="9"/>
      <c r="M14" s="9"/>
      <c r="N14" s="9"/>
      <c r="O14" s="9"/>
      <c r="P14" s="9"/>
      <c r="Q14" s="9"/>
      <c r="R14" s="84"/>
      <c r="S14" s="72">
        <f>R39/VLOOKUP(S4,RMD!$B$4:$C$34,2,TRUE)</f>
        <v>95248.180498332062</v>
      </c>
      <c r="T14" s="72">
        <f>S39/VLOOKUP(T4,RMD!$B$4:$C$34,2,TRUE)</f>
        <v>101187.18469411042</v>
      </c>
      <c r="U14" s="72">
        <f>T39/VLOOKUP(U4,RMD!$B$4:$C$34,2,TRUE)</f>
        <v>107069.20396697943</v>
      </c>
      <c r="V14" s="72">
        <f>U39/VLOOKUP(V4,RMD!$B$4:$C$34,2,TRUE)</f>
        <v>113285.5425601678</v>
      </c>
      <c r="W14" s="72">
        <f>V39/VLOOKUP(W4,RMD!$B$4:$C$34,2,TRUE)</f>
        <v>119330.73614132611</v>
      </c>
      <c r="X14" s="72">
        <f>W39/VLOOKUP(X4,RMD!$B$4:$C$34,2,TRUE)</f>
        <v>126241.07058878291</v>
      </c>
      <c r="Y14" s="72">
        <f>X39/VLOOKUP(Y4,RMD!$B$4:$C$34,2,TRUE)</f>
        <v>133540.31732424808</v>
      </c>
      <c r="Z14" s="72">
        <f>Y39/VLOOKUP(Z4,RMD!$B$4:$C$34,2,TRUE)</f>
        <v>141248.6346509844</v>
      </c>
      <c r="AA14" s="72">
        <f>Z39/VLOOKUP(AA4,RMD!$B$4:$C$34,2,TRUE)</f>
        <v>148616.86239669556</v>
      </c>
      <c r="AB14" s="72">
        <f>AA39/VLOOKUP(AB4,RMD!$B$4:$C$34,2,TRUE)</f>
        <v>157164.34032048387</v>
      </c>
      <c r="AC14" s="72">
        <f>AB39/VLOOKUP(AC4,RMD!$B$4:$C$34,2,TRUE)</f>
        <v>165244.54086803421</v>
      </c>
      <c r="AD14" s="72">
        <f>AC39/VLOOKUP(AD4,RMD!$B$4:$C$34,2,TRUE)</f>
        <v>174706.75802964429</v>
      </c>
      <c r="AE14" s="72">
        <f>AD39/VLOOKUP(AE4,RMD!$B$4:$C$34,2,TRUE)</f>
        <v>183529.44931014132</v>
      </c>
      <c r="AF14" s="72">
        <f>AE39/VLOOKUP(AF4,RMD!$B$4:$C$34,2,TRUE)</f>
        <v>192705.92177564843</v>
      </c>
      <c r="AG14" s="72">
        <f>AF39/VLOOKUP(AG4,RMD!$B$4:$C$34,2,TRUE)</f>
        <v>202234.15901899993</v>
      </c>
      <c r="AH14" s="72">
        <f>AG39/VLOOKUP(AH4,RMD!$B$4:$C$34,2,TRUE)</f>
        <v>210559.71125890623</v>
      </c>
      <c r="AI14" s="72">
        <f>AH39/VLOOKUP(AI4,RMD!$B$4:$C$34,2,TRUE)</f>
        <v>220712.2802823977</v>
      </c>
      <c r="AJ14" s="72">
        <f>AI39/VLOOKUP(AJ4,RMD!$B$4:$C$34,2,TRUE)</f>
        <v>229287.49510648433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30"/>
    </row>
    <row r="15" spans="1:522" s="8" customFormat="1" x14ac:dyDescent="0.2">
      <c r="A15" s="8" t="s">
        <v>8</v>
      </c>
      <c r="C15" s="9"/>
      <c r="D15" s="9"/>
      <c r="E15" s="9"/>
      <c r="F15" s="9"/>
      <c r="G15" s="9"/>
      <c r="H15" s="9"/>
      <c r="I15" s="9"/>
      <c r="J15" s="64"/>
      <c r="K15" s="83">
        <f>K24</f>
        <v>190743.67479674792</v>
      </c>
      <c r="L15" s="9">
        <f>L24</f>
        <v>191273.75229496066</v>
      </c>
      <c r="M15" s="9">
        <f t="shared" ref="M15:P15" si="1">M24</f>
        <v>192363.74217638921</v>
      </c>
      <c r="N15" s="9">
        <f t="shared" si="1"/>
        <v>193753.30513848382</v>
      </c>
      <c r="O15" s="9">
        <f t="shared" si="1"/>
        <v>195633.61463776231</v>
      </c>
      <c r="P15" s="9">
        <f t="shared" si="1"/>
        <v>137022.94521049981</v>
      </c>
      <c r="Q15" s="9">
        <f>Q24</f>
        <v>136611.95714855101</v>
      </c>
      <c r="R15" s="84">
        <v>0</v>
      </c>
      <c r="S15" s="72">
        <f>R37/VLOOKUP(S4,RMD!$B$4:$C$34,2,TRUE)</f>
        <v>1575.6700876724919</v>
      </c>
      <c r="T15" s="9">
        <f>S37/VLOOKUP(T4,RMD!$B$4:$C$34,2,TRUE)</f>
        <v>1673.9177519626592</v>
      </c>
      <c r="U15" s="9">
        <f>T37/VLOOKUP(U4,RMD!$B$4:$C$34,2,TRUE)</f>
        <v>1771.2227269751227</v>
      </c>
      <c r="V15" s="9">
        <f>U37/VLOOKUP(V4,RMD!$B$4:$C$34,2,TRUE)</f>
        <v>1874.058274330303</v>
      </c>
      <c r="W15" s="9">
        <f>V37/VLOOKUP(W4,RMD!$B$4:$C$34,2,TRUE)</f>
        <v>1974.0626066984967</v>
      </c>
      <c r="X15" s="9">
        <f>W37/VLOOKUP(X4,RMD!$B$4:$C$34,2,TRUE)</f>
        <v>2088.3787776500367</v>
      </c>
      <c r="Y15" s="9">
        <f>X37/VLOOKUP(Y4,RMD!$B$4:$C$34,2,TRUE)</f>
        <v>2209.1286406231666</v>
      </c>
      <c r="Z15" s="9">
        <f>Y37/VLOOKUP(Z4,RMD!$B$4:$C$34,2,TRUE)</f>
        <v>2336.64567007696</v>
      </c>
      <c r="AA15" s="9">
        <f>Z37/VLOOKUP(AA4,RMD!$B$4:$C$34,2,TRUE)</f>
        <v>2458.536671010871</v>
      </c>
      <c r="AB15" s="9">
        <f>AA37/VLOOKUP(AB4,RMD!$B$4:$C$34,2,TRUE)</f>
        <v>2599.935753062523</v>
      </c>
      <c r="AC15" s="9">
        <f>AB37/VLOOKUP(AC4,RMD!$B$4:$C$34,2,TRUE)</f>
        <v>2733.6047663555687</v>
      </c>
      <c r="AD15" s="9">
        <f>AC37/VLOOKUP(AD4,RMD!$B$4:$C$34,2,TRUE)</f>
        <v>2890.1361821433102</v>
      </c>
      <c r="AE15" s="9">
        <f>AD37/VLOOKUP(AE4,RMD!$B$4:$C$34,2,TRUE)</f>
        <v>3036.0880593415477</v>
      </c>
      <c r="AF15" s="9">
        <f>AE37/VLOOKUP(AF4,RMD!$B$4:$C$34,2,TRUE)</f>
        <v>3187.8924623086255</v>
      </c>
      <c r="AG15" s="9">
        <f>AF37/VLOOKUP(AG4,RMD!$B$4:$C$34,2,TRUE)</f>
        <v>3345.5160340561069</v>
      </c>
      <c r="AH15" s="9">
        <f>AG37/VLOOKUP(AH4,RMD!$B$4:$C$34,2,TRUE)</f>
        <v>3483.2438474289283</v>
      </c>
      <c r="AI15" s="9">
        <f>AH37/VLOOKUP(AI4,RMD!$B$4:$C$34,2,TRUE)</f>
        <v>3651.1956050336407</v>
      </c>
      <c r="AJ15" s="9">
        <f>AI37/VLOOKUP(AJ4,RMD!$B$4:$C$34,2,TRUE)</f>
        <v>3793.0535326390473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30"/>
    </row>
    <row r="16" spans="1:522" s="8" customFormat="1" x14ac:dyDescent="0.2">
      <c r="A16" s="8" t="s">
        <v>9</v>
      </c>
      <c r="C16" s="9"/>
      <c r="D16" s="9"/>
      <c r="E16" s="9"/>
      <c r="F16" s="9"/>
      <c r="G16" s="9"/>
      <c r="H16" s="9"/>
      <c r="I16" s="9"/>
      <c r="J16" s="64"/>
      <c r="K16" s="83">
        <v>0</v>
      </c>
      <c r="L16" s="9">
        <v>0</v>
      </c>
      <c r="M16" s="83">
        <v>0</v>
      </c>
      <c r="N16" s="9">
        <v>0</v>
      </c>
      <c r="O16" s="83">
        <v>0</v>
      </c>
      <c r="P16" s="9">
        <v>0</v>
      </c>
      <c r="Q16" s="83">
        <v>0</v>
      </c>
      <c r="R16" s="9">
        <v>0</v>
      </c>
      <c r="S16" s="72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30"/>
    </row>
    <row r="17" spans="1:522" s="8" customFormat="1" x14ac:dyDescent="0.2">
      <c r="A17" s="8" t="s">
        <v>51</v>
      </c>
      <c r="C17" s="9"/>
      <c r="D17" s="9"/>
      <c r="E17" s="9"/>
      <c r="F17" s="9"/>
      <c r="G17" s="9"/>
      <c r="H17" s="9"/>
      <c r="I17" s="9"/>
      <c r="J17" s="64"/>
      <c r="K17" s="83">
        <f>K29-(K28-K24)</f>
        <v>140454.43479674793</v>
      </c>
      <c r="L17" s="83">
        <f>L29-(L28-L24)</f>
        <v>150734.51229496067</v>
      </c>
      <c r="M17" s="83">
        <f t="shared" ref="M17:O17" si="2">M29-(M28-M24)</f>
        <v>161867.00217638921</v>
      </c>
      <c r="N17" s="83">
        <f t="shared" si="2"/>
        <v>173600.34013848385</v>
      </c>
      <c r="O17" s="83">
        <f t="shared" si="2"/>
        <v>186134.73788776237</v>
      </c>
      <c r="P17" s="83">
        <f>P29-(P28-P24)</f>
        <v>138497.77935799985</v>
      </c>
      <c r="Q17" s="83">
        <f>Q29-(Q28-Q24)</f>
        <v>149389.71352047607</v>
      </c>
      <c r="R17" s="83">
        <f>R29-(R28-R24)</f>
        <v>119882.94003292022</v>
      </c>
      <c r="S17" s="83">
        <f t="shared" ref="S17:U17" si="3">IF((S29-S28)&gt;0,(S29-S28),0)</f>
        <v>63288.992668305116</v>
      </c>
      <c r="T17" s="83">
        <f t="shared" si="3"/>
        <v>69952.837176393194</v>
      </c>
      <c r="U17" s="83">
        <f t="shared" si="3"/>
        <v>76239.984107794997</v>
      </c>
      <c r="V17" s="83">
        <f t="shared" ref="V17:Y17" si="4">IF((V29-V28)&gt;0,(V29-V28),0)</f>
        <v>69673.241877793917</v>
      </c>
      <c r="W17" s="83">
        <f t="shared" si="4"/>
        <v>62975.939475764404</v>
      </c>
      <c r="X17" s="83">
        <f t="shared" si="4"/>
        <v>56398.872121056542</v>
      </c>
      <c r="Y17" s="83">
        <f t="shared" si="4"/>
        <v>49239.368583157659</v>
      </c>
      <c r="Z17" s="83">
        <f>IF((Z29-Z28)&gt;0,(Z29-Z28),0)</f>
        <v>41934.573116856453</v>
      </c>
      <c r="AA17" s="83">
        <f>IF((AA29-AA28)&gt;0,(AA29-AA28),0)</f>
        <v>34633.971142193594</v>
      </c>
      <c r="AB17" s="83">
        <f t="shared" ref="AB17:AE17" si="5">IF((AB29-AB28)&gt;0,(AB29-AB28),0)</f>
        <v>26399.430837441294</v>
      </c>
      <c r="AC17" s="83">
        <f t="shared" si="5"/>
        <v>18234.945008273702</v>
      </c>
      <c r="AD17" s="83">
        <f t="shared" si="5"/>
        <v>9526.2404662094195</v>
      </c>
      <c r="AE17" s="83">
        <f t="shared" si="5"/>
        <v>1049.7533599709277</v>
      </c>
      <c r="AF17" s="83">
        <f>IF((AF29-AF28)&gt;0,(AF29-AF28),0)</f>
        <v>0</v>
      </c>
      <c r="AG17" s="83">
        <f>IF((AG29-AG28)&gt;0,(AG29-AG28),0)</f>
        <v>0</v>
      </c>
      <c r="AH17" s="83">
        <f t="shared" ref="AH17:AJ17" si="6">IF((AH29-AH28)&gt;0,(AH29-AH28),0)</f>
        <v>0</v>
      </c>
      <c r="AI17" s="83">
        <f t="shared" si="6"/>
        <v>0</v>
      </c>
      <c r="AJ17" s="83">
        <f t="shared" si="6"/>
        <v>0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 s="30"/>
    </row>
    <row r="18" spans="1:522" x14ac:dyDescent="0.2">
      <c r="K18" s="85"/>
      <c r="R18" s="86"/>
      <c r="Y18">
        <f>IF((Y29-Y28)&gt;0,(Y29-Y28),0)</f>
        <v>49239.368583157659</v>
      </c>
      <c r="Z18">
        <f>IF((Z29-Z28)&gt;0,(Z29-Z28),0)</f>
        <v>41934.573116856453</v>
      </c>
      <c r="AA18">
        <f>IF((AA29-AA28)&gt;0,(AA29-AA28),0)</f>
        <v>34633.971142193594</v>
      </c>
    </row>
    <row r="19" spans="1:522" s="10" customFormat="1" ht="17" customHeight="1" x14ac:dyDescent="0.2">
      <c r="A19" s="10" t="s">
        <v>10</v>
      </c>
      <c r="C19" s="13">
        <f t="shared" ref="C19:L19" si="7">SUM(C9:C17)</f>
        <v>178286</v>
      </c>
      <c r="D19" s="13">
        <f t="shared" si="7"/>
        <v>178286</v>
      </c>
      <c r="E19" s="13">
        <f t="shared" si="7"/>
        <v>178286</v>
      </c>
      <c r="F19" s="13">
        <f t="shared" si="7"/>
        <v>178286</v>
      </c>
      <c r="G19" s="13">
        <f t="shared" si="7"/>
        <v>178286</v>
      </c>
      <c r="H19" s="13">
        <f t="shared" si="7"/>
        <v>178286</v>
      </c>
      <c r="I19" s="13">
        <f t="shared" si="7"/>
        <v>178286</v>
      </c>
      <c r="J19" s="65">
        <f t="shared" si="7"/>
        <v>178286</v>
      </c>
      <c r="K19" s="87">
        <f t="shared" si="7"/>
        <v>542004.43479674787</v>
      </c>
      <c r="L19" s="13">
        <f t="shared" si="7"/>
        <v>554702.6896868305</v>
      </c>
      <c r="M19" s="13">
        <f t="shared" ref="M19:R19" si="8">SUM(M9:M17)</f>
        <v>568761.28715573228</v>
      </c>
      <c r="N19" s="13">
        <f t="shared" si="8"/>
        <v>583983.07660405617</v>
      </c>
      <c r="O19" s="13">
        <f t="shared" si="8"/>
        <v>600614.79741749703</v>
      </c>
      <c r="P19" s="13">
        <f t="shared" si="8"/>
        <v>557740.43078443431</v>
      </c>
      <c r="Q19" s="13">
        <f t="shared" si="8"/>
        <v>571679.98217828793</v>
      </c>
      <c r="R19" s="88">
        <f t="shared" si="8"/>
        <v>409402.44544952444</v>
      </c>
      <c r="S19" s="73">
        <f>SUM(S9:S17)</f>
        <v>453356.51662189187</v>
      </c>
      <c r="T19" s="13">
        <f t="shared" ref="T19:AD19" si="9">SUM(T9:T17)</f>
        <v>470226.94245272456</v>
      </c>
      <c r="U19" s="13">
        <f t="shared" si="9"/>
        <v>486494.40578746767</v>
      </c>
      <c r="V19" s="13">
        <f t="shared" si="9"/>
        <v>490381.70965986903</v>
      </c>
      <c r="W19" s="13">
        <f t="shared" si="9"/>
        <v>494098.27299658314</v>
      </c>
      <c r="X19" s="13">
        <f t="shared" si="9"/>
        <v>498476.72314700944</v>
      </c>
      <c r="Y19" s="13">
        <f>SUM(Y9:Y17)</f>
        <v>503251.04887793475</v>
      </c>
      <c r="Z19" s="13">
        <f>SUM(Z9:Z17)</f>
        <v>507845.43124760228</v>
      </c>
      <c r="AA19" s="13">
        <f>SUM(AA9:AA17)</f>
        <v>512139.01487094775</v>
      </c>
      <c r="AB19" s="13">
        <f t="shared" si="9"/>
        <v>516720.38151651307</v>
      </c>
      <c r="AC19" s="13">
        <f t="shared" si="9"/>
        <v>520897.41951696959</v>
      </c>
      <c r="AD19" s="13">
        <f t="shared" si="9"/>
        <v>525065.86706284923</v>
      </c>
      <c r="AE19" s="13">
        <f t="shared" ref="AE19:AJ19" si="10">SUM(AE9:AE17)</f>
        <v>528680.03299389733</v>
      </c>
      <c r="AF19" s="13">
        <f t="shared" si="10"/>
        <v>538927.76794500637</v>
      </c>
      <c r="AG19" s="13">
        <f t="shared" si="10"/>
        <v>551368.82719055319</v>
      </c>
      <c r="AH19" s="13">
        <f t="shared" si="10"/>
        <v>561181.65467346448</v>
      </c>
      <c r="AI19" s="13">
        <f t="shared" si="10"/>
        <v>572500.78430357378</v>
      </c>
      <c r="AJ19" s="13">
        <f t="shared" si="10"/>
        <v>580567.9227768674</v>
      </c>
      <c r="AK19" s="1"/>
      <c r="AL19" s="51">
        <f t="shared" ref="AL19:AL20" si="11">SUM(C19:AK19)</f>
        <v>15127357.867714835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31"/>
    </row>
    <row r="20" spans="1:522" s="20" customFormat="1" x14ac:dyDescent="0.2">
      <c r="A20" s="20" t="s">
        <v>11</v>
      </c>
      <c r="C20" s="21">
        <f t="shared" ref="C20:J20" si="12">C16</f>
        <v>0</v>
      </c>
      <c r="D20" s="21">
        <f t="shared" si="12"/>
        <v>0</v>
      </c>
      <c r="E20" s="21">
        <f t="shared" si="12"/>
        <v>0</v>
      </c>
      <c r="F20" s="21">
        <f t="shared" si="12"/>
        <v>0</v>
      </c>
      <c r="G20" s="21">
        <f t="shared" si="12"/>
        <v>0</v>
      </c>
      <c r="H20" s="21">
        <f t="shared" si="12"/>
        <v>0</v>
      </c>
      <c r="I20" s="21">
        <f t="shared" si="12"/>
        <v>0</v>
      </c>
      <c r="J20" s="27">
        <f t="shared" si="12"/>
        <v>0</v>
      </c>
      <c r="K20" s="89">
        <f>K17+K16</f>
        <v>140454.43479674793</v>
      </c>
      <c r="L20" s="21">
        <f>L17+L16</f>
        <v>150734.51229496067</v>
      </c>
      <c r="M20" s="21">
        <f t="shared" ref="M20:R20" si="13">M17+M16</f>
        <v>161867.00217638921</v>
      </c>
      <c r="N20" s="21">
        <f t="shared" si="13"/>
        <v>173600.34013848385</v>
      </c>
      <c r="O20" s="21">
        <f t="shared" si="13"/>
        <v>186134.73788776237</v>
      </c>
      <c r="P20" s="21">
        <f t="shared" si="13"/>
        <v>138497.77935799985</v>
      </c>
      <c r="Q20" s="21">
        <f t="shared" si="13"/>
        <v>149389.71352047607</v>
      </c>
      <c r="R20" s="90">
        <f t="shared" si="13"/>
        <v>119882.94003292022</v>
      </c>
      <c r="S20" s="90">
        <f t="shared" ref="S20:X20" si="14">S17+S16</f>
        <v>63288.992668305116</v>
      </c>
      <c r="T20" s="90">
        <f t="shared" si="14"/>
        <v>69952.837176393194</v>
      </c>
      <c r="U20" s="90">
        <f t="shared" si="14"/>
        <v>76239.984107794997</v>
      </c>
      <c r="V20" s="90">
        <f t="shared" si="14"/>
        <v>69673.241877793917</v>
      </c>
      <c r="W20" s="90">
        <f t="shared" si="14"/>
        <v>62975.939475764404</v>
      </c>
      <c r="X20" s="90">
        <f t="shared" si="14"/>
        <v>56398.872121056542</v>
      </c>
      <c r="Y20" s="90">
        <f>Y17+Y16</f>
        <v>49239.368583157659</v>
      </c>
      <c r="Z20" s="90">
        <f>Z17+Z16</f>
        <v>41934.573116856453</v>
      </c>
      <c r="AA20" s="90">
        <f>AA17+AA16</f>
        <v>34633.971142193594</v>
      </c>
      <c r="AB20" s="21">
        <f t="shared" ref="AB20:AD20" si="15">AB17+AB16</f>
        <v>26399.430837441294</v>
      </c>
      <c r="AC20" s="21">
        <f t="shared" si="15"/>
        <v>18234.945008273702</v>
      </c>
      <c r="AD20" s="21">
        <f t="shared" si="15"/>
        <v>9526.2404662094195</v>
      </c>
      <c r="AE20" s="21">
        <f t="shared" ref="AE20:AJ20" si="16">AE17+AE16</f>
        <v>1049.7533599709277</v>
      </c>
      <c r="AF20" s="21">
        <f t="shared" si="16"/>
        <v>0</v>
      </c>
      <c r="AG20" s="21">
        <f t="shared" si="16"/>
        <v>0</v>
      </c>
      <c r="AH20" s="21">
        <f t="shared" si="16"/>
        <v>0</v>
      </c>
      <c r="AI20" s="21">
        <f t="shared" si="16"/>
        <v>0</v>
      </c>
      <c r="AJ20" s="21">
        <f t="shared" si="16"/>
        <v>0</v>
      </c>
      <c r="AK20"/>
      <c r="AL20" s="51">
        <f t="shared" si="11"/>
        <v>1800109.6101469514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 s="32"/>
    </row>
    <row r="21" spans="1:522" s="20" customFormat="1" x14ac:dyDescent="0.2">
      <c r="A21" s="20" t="s">
        <v>47</v>
      </c>
      <c r="C21" s="21"/>
      <c r="D21" s="21"/>
      <c r="E21" s="21"/>
      <c r="F21" s="21"/>
      <c r="G21" s="21"/>
      <c r="H21" s="21"/>
      <c r="I21" s="21"/>
      <c r="J21" s="27"/>
      <c r="K21" s="89">
        <f>($T$7-1)*J38</f>
        <v>80000.000000000073</v>
      </c>
      <c r="L21" s="89">
        <f>($T$7-1)*K38</f>
        <v>77581.822608130155</v>
      </c>
      <c r="M21" s="89">
        <f t="shared" ref="M21:AI21" si="17">($T$7-1)*L38</f>
        <v>74655.71502065692</v>
      </c>
      <c r="N21" s="89">
        <f t="shared" si="17"/>
        <v>71167.263534427635</v>
      </c>
      <c r="O21" s="89">
        <f t="shared" si="17"/>
        <v>67069.94047026537</v>
      </c>
      <c r="P21" s="89">
        <f t="shared" si="17"/>
        <v>62307.348573565498</v>
      </c>
      <c r="Q21" s="89">
        <f t="shared" si="17"/>
        <v>59259.731342188126</v>
      </c>
      <c r="R21" s="89">
        <f t="shared" si="17"/>
        <v>55654.532055056603</v>
      </c>
      <c r="S21" s="89">
        <f t="shared" si="17"/>
        <v>53085.39573594206</v>
      </c>
      <c r="T21" s="89">
        <f t="shared" si="17"/>
        <v>52677.251858647542</v>
      </c>
      <c r="U21" s="89">
        <f t="shared" si="17"/>
        <v>51986.228445937704</v>
      </c>
      <c r="V21" s="89">
        <f t="shared" si="17"/>
        <v>51016.078219463416</v>
      </c>
      <c r="W21" s="89">
        <f t="shared" si="17"/>
        <v>50269.791673130196</v>
      </c>
      <c r="X21" s="89">
        <f t="shared" si="17"/>
        <v>49761.545761024827</v>
      </c>
      <c r="Y21" s="89">
        <f t="shared" si="17"/>
        <v>49496.052706623559</v>
      </c>
      <c r="Z21" s="89">
        <f t="shared" si="17"/>
        <v>49506.320071562193</v>
      </c>
      <c r="AA21" s="89">
        <f t="shared" si="17"/>
        <v>49809.18994975042</v>
      </c>
      <c r="AB21" s="89">
        <f t="shared" si="17"/>
        <v>50416.198702052701</v>
      </c>
      <c r="AC21" s="89">
        <f t="shared" si="17"/>
        <v>51376.869416637157</v>
      </c>
      <c r="AD21" s="89">
        <f t="shared" si="17"/>
        <v>52702.546392971693</v>
      </c>
      <c r="AE21" s="89">
        <f t="shared" si="17"/>
        <v>54429.598630042186</v>
      </c>
      <c r="AF21" s="89">
        <f t="shared" si="17"/>
        <v>56564.792440845049</v>
      </c>
      <c r="AG21" s="89">
        <f t="shared" si="17"/>
        <v>58827.384138478847</v>
      </c>
      <c r="AH21" s="89">
        <f t="shared" si="17"/>
        <v>61180.479504018003</v>
      </c>
      <c r="AI21" s="89">
        <f t="shared" si="17"/>
        <v>63627.698684178729</v>
      </c>
      <c r="AJ21" s="89">
        <f>($T$7-1)*AI38</f>
        <v>66172.806631545885</v>
      </c>
      <c r="AK21"/>
      <c r="AL21" s="5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 s="32"/>
    </row>
    <row r="22" spans="1:522" s="20" customFormat="1" x14ac:dyDescent="0.2">
      <c r="A22" s="20" t="s">
        <v>50</v>
      </c>
      <c r="C22" s="21"/>
      <c r="D22" s="21"/>
      <c r="E22" s="21"/>
      <c r="F22" s="21"/>
      <c r="G22" s="21"/>
      <c r="H22" s="21"/>
      <c r="I22" s="21"/>
      <c r="J22" s="27"/>
      <c r="K22" s="91">
        <f>SUM(K9:K14)+K21</f>
        <v>290806.32520325208</v>
      </c>
      <c r="L22" s="63">
        <f>SUM(L9:L14)+L21</f>
        <v>290276.24770503934</v>
      </c>
      <c r="M22" s="63">
        <f t="shared" ref="M22:R22" si="18">SUM(M9:M14)+M21</f>
        <v>289186.25782361079</v>
      </c>
      <c r="N22" s="63">
        <f t="shared" si="18"/>
        <v>287796.69486151618</v>
      </c>
      <c r="O22" s="63">
        <f t="shared" si="18"/>
        <v>285916.38536223769</v>
      </c>
      <c r="P22" s="63">
        <f t="shared" si="18"/>
        <v>344527.05478950019</v>
      </c>
      <c r="Q22" s="63">
        <f t="shared" si="18"/>
        <v>344938.04285144899</v>
      </c>
      <c r="R22" s="92">
        <f t="shared" si="18"/>
        <v>345174.03747166082</v>
      </c>
      <c r="S22" s="92">
        <f>SUM(S9:S15)+S21</f>
        <v>443152.91968952882</v>
      </c>
      <c r="T22" s="92">
        <f t="shared" ref="T22" si="19">SUM(T9:T14)+T21</f>
        <v>451277.43938301626</v>
      </c>
      <c r="U22" s="92">
        <f t="shared" ref="U22" si="20">SUM(U9:U14)+U21</f>
        <v>460469.42739863525</v>
      </c>
      <c r="V22" s="92">
        <f t="shared" ref="V22" si="21">SUM(V9:V14)+V21</f>
        <v>469850.48772720824</v>
      </c>
      <c r="W22" s="92">
        <f t="shared" ref="W22" si="22">SUM(W9:W14)+W21</f>
        <v>479418.06258725043</v>
      </c>
      <c r="X22" s="92">
        <f t="shared" ref="X22" si="23">SUM(X9:X14)+X21</f>
        <v>489751.0180093277</v>
      </c>
      <c r="Y22" s="92">
        <f t="shared" ref="Y22" si="24">SUM(Y9:Y14)+Y21</f>
        <v>501298.60436077748</v>
      </c>
      <c r="Z22" s="92">
        <f t="shared" ref="Z22" si="25">SUM(Z9:Z14)+Z21</f>
        <v>513080.53253223107</v>
      </c>
      <c r="AA22" s="92">
        <f t="shared" ref="AA22" si="26">SUM(AA9:AA14)+AA21</f>
        <v>524855.6970074937</v>
      </c>
      <c r="AB22" s="63">
        <f t="shared" ref="AB22" si="27">SUM(AB9:AB14)+AB21</f>
        <v>538137.21362806193</v>
      </c>
      <c r="AC22" s="63">
        <f t="shared" ref="AC22" si="28">SUM(AC9:AC14)+AC21</f>
        <v>551305.73915897741</v>
      </c>
      <c r="AD22" s="63">
        <f t="shared" ref="AD22" si="29">SUM(AD9:AD14)+AD21</f>
        <v>565352.03680746816</v>
      </c>
      <c r="AE22" s="63">
        <f t="shared" ref="AE22" si="30">SUM(AE9:AE14)+AE21</f>
        <v>579023.79020462709</v>
      </c>
      <c r="AF22" s="63">
        <f t="shared" ref="AF22" si="31">SUM(AF9:AF14)+AF21</f>
        <v>592304.66792354279</v>
      </c>
      <c r="AG22" s="63">
        <f t="shared" ref="AG22" si="32">SUM(AG9:AG14)+AG21</f>
        <v>606850.695294976</v>
      </c>
      <c r="AH22" s="63">
        <f t="shared" ref="AH22" si="33">SUM(AH9:AH14)+AH21</f>
        <v>618878.89033005352</v>
      </c>
      <c r="AI22" s="63">
        <f t="shared" ref="AI22" si="34">SUM(AI9:AI14)+AI21</f>
        <v>632477.28738271887</v>
      </c>
      <c r="AJ22" s="63">
        <f t="shared" ref="AJ22" si="35">SUM(AJ9:AJ14)+AJ21</f>
        <v>642947.67587577424</v>
      </c>
      <c r="AK22"/>
      <c r="AL22" s="51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 s="32"/>
    </row>
    <row r="23" spans="1:522" s="20" customFormat="1" x14ac:dyDescent="0.2">
      <c r="A23" s="20" t="s">
        <v>46</v>
      </c>
      <c r="C23" s="21">
        <f>SUM(C9:C15)</f>
        <v>178286</v>
      </c>
      <c r="D23" s="21">
        <f t="shared" ref="D23:I23" si="36">SUM(D9:D17)</f>
        <v>178286</v>
      </c>
      <c r="E23" s="21">
        <f t="shared" si="36"/>
        <v>178286</v>
      </c>
      <c r="F23" s="21">
        <f t="shared" si="36"/>
        <v>178286</v>
      </c>
      <c r="G23" s="21">
        <f t="shared" si="36"/>
        <v>178286</v>
      </c>
      <c r="H23" s="21">
        <f t="shared" si="36"/>
        <v>178286</v>
      </c>
      <c r="I23" s="21">
        <f t="shared" si="36"/>
        <v>178286</v>
      </c>
      <c r="J23" s="27">
        <f>SUM(J9:J14)</f>
        <v>178286</v>
      </c>
      <c r="K23" s="89">
        <f t="shared" ref="K23:AA23" si="37">SUM(K9:K14)+K21-K43</f>
        <v>212806.32520325208</v>
      </c>
      <c r="L23" s="21">
        <f t="shared" si="37"/>
        <v>212276.24770503934</v>
      </c>
      <c r="M23" s="21">
        <f t="shared" si="37"/>
        <v>211186.25782361079</v>
      </c>
      <c r="N23" s="21">
        <f t="shared" si="37"/>
        <v>209796.69486151618</v>
      </c>
      <c r="O23" s="21">
        <f t="shared" si="37"/>
        <v>207916.38536223769</v>
      </c>
      <c r="P23" s="21">
        <f t="shared" si="37"/>
        <v>266527.05478950019</v>
      </c>
      <c r="Q23" s="21">
        <f t="shared" si="37"/>
        <v>266938.04285144899</v>
      </c>
      <c r="R23" s="90">
        <f t="shared" si="37"/>
        <v>267174.03747166082</v>
      </c>
      <c r="S23" s="90">
        <f t="shared" si="37"/>
        <v>363577.24960185634</v>
      </c>
      <c r="T23" s="90">
        <f t="shared" si="37"/>
        <v>373277.43938301626</v>
      </c>
      <c r="U23" s="90">
        <f t="shared" si="37"/>
        <v>382469.42739863525</v>
      </c>
      <c r="V23" s="90">
        <f t="shared" si="37"/>
        <v>391850.48772720824</v>
      </c>
      <c r="W23" s="90">
        <f t="shared" si="37"/>
        <v>401418.06258725043</v>
      </c>
      <c r="X23" s="90">
        <f t="shared" si="37"/>
        <v>411751.0180093277</v>
      </c>
      <c r="Y23" s="90">
        <f t="shared" si="37"/>
        <v>423298.60436077748</v>
      </c>
      <c r="Z23" s="90">
        <f t="shared" si="37"/>
        <v>435080.53253223107</v>
      </c>
      <c r="AA23" s="90">
        <f t="shared" si="37"/>
        <v>446855.6970074937</v>
      </c>
      <c r="AB23" s="21">
        <f t="shared" ref="AB23:AD23" si="38">SUM(AB9:AB14)</f>
        <v>487721.01492600923</v>
      </c>
      <c r="AC23" s="21">
        <f t="shared" si="38"/>
        <v>499928.86974234029</v>
      </c>
      <c r="AD23" s="21">
        <f t="shared" si="38"/>
        <v>512649.49041449651</v>
      </c>
      <c r="AE23" s="21">
        <f t="shared" ref="AE23:AJ23" si="39">SUM(AE9:AE14)</f>
        <v>524594.19157458493</v>
      </c>
      <c r="AF23" s="21">
        <f t="shared" si="39"/>
        <v>535739.87548269774</v>
      </c>
      <c r="AG23" s="21">
        <f t="shared" si="39"/>
        <v>548023.3111564971</v>
      </c>
      <c r="AH23" s="21">
        <f t="shared" si="39"/>
        <v>557698.41082603554</v>
      </c>
      <c r="AI23" s="21">
        <f t="shared" si="39"/>
        <v>568849.58869854012</v>
      </c>
      <c r="AJ23" s="21">
        <f t="shared" si="39"/>
        <v>576774.86924422835</v>
      </c>
      <c r="AK23"/>
      <c r="AL23" s="51">
        <f>SUM(C23:AK23)</f>
        <v>11722467.18674149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 s="32"/>
    </row>
    <row r="24" spans="1:522" s="20" customFormat="1" x14ac:dyDescent="0.2">
      <c r="A24" s="20" t="s">
        <v>44</v>
      </c>
      <c r="C24" s="21"/>
      <c r="D24" s="21"/>
      <c r="E24" s="21"/>
      <c r="F24" s="21"/>
      <c r="G24" s="21"/>
      <c r="H24" s="21"/>
      <c r="I24" s="21"/>
      <c r="J24" s="27"/>
      <c r="K24" s="89">
        <f>'Tax Table'!$C$8-'Current Distribution with Roth'!K23</f>
        <v>190743.67479674792</v>
      </c>
      <c r="L24" s="21">
        <f>'Tax Table'!$C$8-'Current Distribution with Roth'!L23</f>
        <v>191273.75229496066</v>
      </c>
      <c r="M24" s="21">
        <f>'Tax Table'!$C$8-'Current Distribution with Roth'!M23</f>
        <v>192363.74217638921</v>
      </c>
      <c r="N24" s="21">
        <f>'Tax Table'!$C$8-'Current Distribution with Roth'!N23</f>
        <v>193753.30513848382</v>
      </c>
      <c r="O24" s="21">
        <f>'Tax Table'!$C$8-'Current Distribution with Roth'!O23</f>
        <v>195633.61463776231</v>
      </c>
      <c r="P24" s="21">
        <f>'Tax Table'!$C$8-'Current Distribution with Roth'!P23</f>
        <v>137022.94521049981</v>
      </c>
      <c r="Q24" s="21">
        <f>'Tax Table'!$C$8-'Current Distribution with Roth'!Q23</f>
        <v>136611.95714855101</v>
      </c>
      <c r="R24" s="90">
        <v>0</v>
      </c>
      <c r="S24" s="74">
        <v>0</v>
      </c>
      <c r="T24" s="90">
        <v>0</v>
      </c>
      <c r="U24" s="74">
        <v>0</v>
      </c>
      <c r="V24" s="90">
        <v>0</v>
      </c>
      <c r="W24" s="74">
        <v>0</v>
      </c>
      <c r="X24" s="90">
        <v>0</v>
      </c>
      <c r="Y24" s="74">
        <v>0</v>
      </c>
      <c r="Z24" s="90">
        <v>0</v>
      </c>
      <c r="AA24" s="74">
        <v>0</v>
      </c>
      <c r="AB24" s="90">
        <v>0</v>
      </c>
      <c r="AC24" s="74">
        <v>0</v>
      </c>
      <c r="AD24" s="90">
        <v>0</v>
      </c>
      <c r="AE24" s="74">
        <v>0</v>
      </c>
      <c r="AF24" s="90">
        <v>0</v>
      </c>
      <c r="AG24" s="74">
        <v>0</v>
      </c>
      <c r="AH24" s="90">
        <v>0</v>
      </c>
      <c r="AI24" s="74">
        <v>0</v>
      </c>
      <c r="AJ24" s="90">
        <v>0</v>
      </c>
      <c r="AK24"/>
      <c r="AL24" s="51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 s="32"/>
    </row>
    <row r="25" spans="1:522" s="20" customFormat="1" x14ac:dyDescent="0.2">
      <c r="A25" s="20" t="s">
        <v>54</v>
      </c>
      <c r="C25" s="21"/>
      <c r="D25" s="21"/>
      <c r="E25" s="21"/>
      <c r="F25" s="21"/>
      <c r="G25" s="21"/>
      <c r="H25" s="21"/>
      <c r="I25" s="21"/>
      <c r="J25" s="27"/>
      <c r="K25" s="89">
        <f>K22+K24</f>
        <v>481550</v>
      </c>
      <c r="L25" s="89">
        <f t="shared" ref="L25:P25" si="40">L22+L24</f>
        <v>481550</v>
      </c>
      <c r="M25" s="89">
        <f t="shared" si="40"/>
        <v>481550</v>
      </c>
      <c r="N25" s="89">
        <f t="shared" si="40"/>
        <v>481550</v>
      </c>
      <c r="O25" s="89">
        <f t="shared" si="40"/>
        <v>481550</v>
      </c>
      <c r="P25" s="89">
        <f t="shared" si="40"/>
        <v>481550</v>
      </c>
      <c r="Q25" s="89">
        <f t="shared" ref="Q25" si="41">Q22+Q24</f>
        <v>481550</v>
      </c>
      <c r="R25" s="89">
        <f t="shared" ref="R25" si="42">R22+R24</f>
        <v>345174.03747166082</v>
      </c>
      <c r="S25" s="89">
        <f t="shared" ref="S25" si="43">S22+S24</f>
        <v>443152.91968952882</v>
      </c>
      <c r="T25" s="89">
        <f t="shared" ref="T25" si="44">T22+T24</f>
        <v>451277.43938301626</v>
      </c>
      <c r="U25" s="89">
        <f t="shared" ref="U25" si="45">U22+U24</f>
        <v>460469.42739863525</v>
      </c>
      <c r="V25" s="89">
        <f t="shared" ref="V25" si="46">V22+V24</f>
        <v>469850.48772720824</v>
      </c>
      <c r="W25" s="89">
        <f t="shared" ref="W25" si="47">W22+W24</f>
        <v>479418.06258725043</v>
      </c>
      <c r="X25" s="89">
        <f t="shared" ref="X25" si="48">X22+X24</f>
        <v>489751.0180093277</v>
      </c>
      <c r="Y25" s="89">
        <f t="shared" ref="Y25" si="49">Y22+Y24</f>
        <v>501298.60436077748</v>
      </c>
      <c r="Z25" s="89">
        <f t="shared" ref="Z25" si="50">Z22+Z24</f>
        <v>513080.53253223107</v>
      </c>
      <c r="AA25" s="89">
        <f t="shared" ref="AA25" si="51">AA22+AA24</f>
        <v>524855.6970074937</v>
      </c>
      <c r="AB25" s="89">
        <f t="shared" ref="AB25" si="52">AB22+AB24</f>
        <v>538137.21362806193</v>
      </c>
      <c r="AC25" s="89">
        <f t="shared" ref="AC25" si="53">AC22+AC24</f>
        <v>551305.73915897741</v>
      </c>
      <c r="AD25" s="89">
        <f t="shared" ref="AD25" si="54">AD22+AD24</f>
        <v>565352.03680746816</v>
      </c>
      <c r="AE25" s="89">
        <f t="shared" ref="AE25" si="55">AE22+AE24</f>
        <v>579023.79020462709</v>
      </c>
      <c r="AF25" s="89">
        <f t="shared" ref="AF25" si="56">AF22+AF24</f>
        <v>592304.66792354279</v>
      </c>
      <c r="AG25" s="89">
        <f t="shared" ref="AG25" si="57">AG22+AG24</f>
        <v>606850.695294976</v>
      </c>
      <c r="AH25" s="89">
        <f t="shared" ref="AH25" si="58">AH22+AH24</f>
        <v>618878.89033005352</v>
      </c>
      <c r="AI25" s="89">
        <f t="shared" ref="AI25" si="59">AI22+AI24</f>
        <v>632477.28738271887</v>
      </c>
      <c r="AJ25" s="89">
        <f t="shared" ref="AJ25" si="60">AJ22+AJ24</f>
        <v>642947.67587577424</v>
      </c>
      <c r="AK25"/>
      <c r="AL25" s="51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 s="32"/>
    </row>
    <row r="26" spans="1:522" s="20" customFormat="1" x14ac:dyDescent="0.2">
      <c r="A26" s="20" t="s">
        <v>49</v>
      </c>
      <c r="C26" s="21">
        <f>SUM(C11:C17)</f>
        <v>21600</v>
      </c>
      <c r="D26" s="21">
        <f t="shared" ref="D26:I26" si="61">SUM(D11:D19)</f>
        <v>199886</v>
      </c>
      <c r="E26" s="21">
        <f t="shared" si="61"/>
        <v>199886</v>
      </c>
      <c r="F26" s="21">
        <f t="shared" si="61"/>
        <v>199886</v>
      </c>
      <c r="G26" s="21">
        <f t="shared" si="61"/>
        <v>199886</v>
      </c>
      <c r="H26" s="21">
        <f t="shared" si="61"/>
        <v>199886</v>
      </c>
      <c r="I26" s="21">
        <f t="shared" si="61"/>
        <v>199886</v>
      </c>
      <c r="J26" s="27">
        <f>SUM(J11:J16)</f>
        <v>21600</v>
      </c>
      <c r="K26" s="89">
        <f>K23+K24</f>
        <v>403550</v>
      </c>
      <c r="L26" s="21">
        <f>L23+L24</f>
        <v>403550</v>
      </c>
      <c r="M26" s="21">
        <f t="shared" ref="M26:S26" si="62">M23+M24</f>
        <v>403550</v>
      </c>
      <c r="N26" s="21">
        <f t="shared" si="62"/>
        <v>403550</v>
      </c>
      <c r="O26" s="21">
        <f t="shared" si="62"/>
        <v>403550</v>
      </c>
      <c r="P26" s="21">
        <f t="shared" si="62"/>
        <v>403550</v>
      </c>
      <c r="Q26" s="21">
        <f t="shared" si="62"/>
        <v>403550</v>
      </c>
      <c r="R26" s="90">
        <f t="shared" si="62"/>
        <v>267174.03747166082</v>
      </c>
      <c r="S26" s="90">
        <f t="shared" si="62"/>
        <v>363577.24960185634</v>
      </c>
      <c r="T26" s="90">
        <f t="shared" ref="T26" si="63">T23+T24</f>
        <v>373277.43938301626</v>
      </c>
      <c r="U26" s="90">
        <f t="shared" ref="U26" si="64">U23+U24</f>
        <v>382469.42739863525</v>
      </c>
      <c r="V26" s="90">
        <f t="shared" ref="V26" si="65">V23+V24</f>
        <v>391850.48772720824</v>
      </c>
      <c r="W26" s="90">
        <f t="shared" ref="W26" si="66">W23+W24</f>
        <v>401418.06258725043</v>
      </c>
      <c r="X26" s="90">
        <f t="shared" ref="X26" si="67">X23+X24</f>
        <v>411751.0180093277</v>
      </c>
      <c r="Y26" s="90">
        <f t="shared" ref="Y26" si="68">Y23+Y24</f>
        <v>423298.60436077748</v>
      </c>
      <c r="Z26" s="90">
        <f t="shared" ref="Z26" si="69">Z23+Z24</f>
        <v>435080.53253223107</v>
      </c>
      <c r="AA26" s="90">
        <f t="shared" ref="AA26" si="70">AA23+AA24</f>
        <v>446855.6970074937</v>
      </c>
      <c r="AB26" s="21">
        <f t="shared" ref="AB26" si="71">AB23+AB24</f>
        <v>487721.01492600923</v>
      </c>
      <c r="AC26" s="21">
        <f t="shared" ref="AC26" si="72">AC23+AC24</f>
        <v>499928.86974234029</v>
      </c>
      <c r="AD26" s="21">
        <f t="shared" ref="AD26" si="73">AD23+AD24</f>
        <v>512649.49041449651</v>
      </c>
      <c r="AE26" s="21">
        <f t="shared" ref="AE26" si="74">AE23+AE24</f>
        <v>524594.19157458493</v>
      </c>
      <c r="AF26" s="21">
        <f t="shared" ref="AF26" si="75">AF23+AF24</f>
        <v>535739.87548269774</v>
      </c>
      <c r="AG26" s="21">
        <f t="shared" ref="AG26" si="76">AG23+AG24</f>
        <v>548023.3111564971</v>
      </c>
      <c r="AH26" s="21">
        <f t="shared" ref="AH26" si="77">AH23+AH24</f>
        <v>557698.41082603554</v>
      </c>
      <c r="AI26" s="21">
        <f t="shared" ref="AI26" si="78">AI23+AI24</f>
        <v>568849.58869854012</v>
      </c>
      <c r="AJ26" s="21">
        <f t="shared" ref="AJ26" si="79">AJ23+AJ24</f>
        <v>576774.86924422835</v>
      </c>
      <c r="AK26"/>
      <c r="AL26" s="51">
        <f>SUM(C26:AK26)</f>
        <v>12776098.178144883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 s="32"/>
    </row>
    <row r="27" spans="1:522" s="24" customFormat="1" x14ac:dyDescent="0.2">
      <c r="A27" s="52" t="s">
        <v>15</v>
      </c>
      <c r="B27" s="52"/>
      <c r="C27" s="53">
        <f>C45+C48</f>
        <v>26077.43</v>
      </c>
      <c r="D27" s="53">
        <f t="shared" ref="D27:L27" si="80">D45+D48</f>
        <v>26077.43</v>
      </c>
      <c r="E27" s="53">
        <f t="shared" si="80"/>
        <v>26077.43</v>
      </c>
      <c r="F27" s="53">
        <f t="shared" si="80"/>
        <v>26077.43</v>
      </c>
      <c r="G27" s="53">
        <f t="shared" si="80"/>
        <v>26077.43</v>
      </c>
      <c r="H27" s="53">
        <f t="shared" si="80"/>
        <v>26743.86</v>
      </c>
      <c r="I27" s="53">
        <f t="shared" si="80"/>
        <v>26743.86</v>
      </c>
      <c r="J27" s="66">
        <f t="shared" si="80"/>
        <v>17555.36</v>
      </c>
      <c r="K27" s="93">
        <f t="shared" si="80"/>
        <v>106260.76</v>
      </c>
      <c r="L27" s="53">
        <f t="shared" si="80"/>
        <v>106260.76</v>
      </c>
      <c r="M27" s="53">
        <f t="shared" ref="M27:R27" si="81">M45+M48</f>
        <v>106260.76</v>
      </c>
      <c r="N27" s="53">
        <f t="shared" si="81"/>
        <v>106260.76</v>
      </c>
      <c r="O27" s="53">
        <f t="shared" si="81"/>
        <v>106260.76</v>
      </c>
      <c r="P27" s="53">
        <f t="shared" si="81"/>
        <v>106260.76</v>
      </c>
      <c r="Q27" s="53">
        <f t="shared" si="81"/>
        <v>106260.76</v>
      </c>
      <c r="R27" s="94">
        <f t="shared" si="81"/>
        <v>65347.97124149825</v>
      </c>
      <c r="S27" s="94">
        <f t="shared" ref="S27:X27" si="82">S45+S48</f>
        <v>94741.635906858646</v>
      </c>
      <c r="T27" s="94">
        <f t="shared" si="82"/>
        <v>97178.991814904875</v>
      </c>
      <c r="U27" s="94">
        <f t="shared" si="82"/>
        <v>99936.588219590558</v>
      </c>
      <c r="V27" s="94">
        <f t="shared" si="82"/>
        <v>102750.90631816247</v>
      </c>
      <c r="W27" s="94">
        <f t="shared" si="82"/>
        <v>105621.17877617513</v>
      </c>
      <c r="X27" s="94">
        <f t="shared" si="82"/>
        <v>109377.06684354453</v>
      </c>
      <c r="Y27" s="94">
        <f t="shared" ref="Y27:AA27" si="83">Y45+Y48</f>
        <v>113765.14965709545</v>
      </c>
      <c r="Z27" s="94">
        <f t="shared" si="83"/>
        <v>118242.28236224782</v>
      </c>
      <c r="AA27" s="94">
        <f t="shared" si="83"/>
        <v>122716.84486284762</v>
      </c>
      <c r="AB27" s="53">
        <f t="shared" ref="AB27:AD27" si="84">AB45+AB48</f>
        <v>127763.82117866354</v>
      </c>
      <c r="AC27" s="53">
        <f t="shared" si="84"/>
        <v>132767.8608804114</v>
      </c>
      <c r="AD27" s="53">
        <f t="shared" si="84"/>
        <v>138105.45398683791</v>
      </c>
      <c r="AE27" s="53">
        <f t="shared" ref="AE27:AJ27" si="85">AE45+AE48</f>
        <v>143300.72027775832</v>
      </c>
      <c r="AF27" s="53">
        <f t="shared" si="85"/>
        <v>148403.06384865256</v>
      </c>
      <c r="AG27" s="53">
        <f t="shared" si="85"/>
        <v>154366.93507094015</v>
      </c>
      <c r="AH27" s="53">
        <f t="shared" si="85"/>
        <v>159298.49503532195</v>
      </c>
      <c r="AI27" s="53">
        <f t="shared" si="85"/>
        <v>164873.83782691474</v>
      </c>
      <c r="AJ27" s="53">
        <f t="shared" si="85"/>
        <v>169166.69710906743</v>
      </c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4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4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  <c r="KS27" s="34"/>
      <c r="KT27" s="34"/>
      <c r="KU27" s="34"/>
      <c r="KV27" s="34"/>
      <c r="KW27" s="34"/>
      <c r="KX27" s="34"/>
      <c r="KY27" s="34"/>
      <c r="KZ27" s="34"/>
      <c r="LA27" s="34"/>
      <c r="LB27" s="34"/>
      <c r="LC27" s="34"/>
      <c r="LD27" s="34"/>
      <c r="LE27" s="34"/>
      <c r="LF27" s="34"/>
      <c r="LG27" s="34"/>
      <c r="LH27" s="34"/>
      <c r="LI27" s="34"/>
      <c r="LJ27" s="34"/>
      <c r="LK27" s="34"/>
      <c r="LL27" s="34"/>
      <c r="LM27" s="34"/>
      <c r="LN27" s="34"/>
      <c r="LO27" s="34"/>
      <c r="LP27" s="34"/>
      <c r="LQ27" s="34"/>
      <c r="LR27" s="34"/>
      <c r="LS27" s="34"/>
      <c r="LT27" s="34"/>
      <c r="LU27" s="34"/>
      <c r="LV27" s="34"/>
      <c r="LW27" s="34"/>
      <c r="LX27" s="34"/>
      <c r="LY27" s="34"/>
      <c r="LZ27" s="34"/>
      <c r="MA27" s="34"/>
      <c r="MB27" s="34"/>
      <c r="MC27" s="34"/>
      <c r="MD27" s="34"/>
      <c r="ME27" s="34"/>
      <c r="MF27" s="34"/>
      <c r="MG27" s="34"/>
      <c r="MH27" s="34"/>
      <c r="MI27" s="34"/>
      <c r="MJ27" s="34"/>
      <c r="MK27" s="34"/>
      <c r="ML27" s="34"/>
      <c r="MM27" s="34"/>
      <c r="MN27" s="34"/>
      <c r="MO27" s="34"/>
      <c r="MP27" s="34"/>
      <c r="MQ27" s="34"/>
      <c r="MR27" s="34"/>
      <c r="MS27" s="34"/>
      <c r="MT27" s="34"/>
      <c r="MU27" s="34"/>
      <c r="MV27" s="34"/>
      <c r="MW27" s="34"/>
      <c r="MX27" s="34"/>
      <c r="MY27" s="34"/>
      <c r="MZ27" s="34"/>
      <c r="NA27" s="34"/>
      <c r="NB27" s="34"/>
      <c r="NC27" s="34"/>
      <c r="ND27" s="34"/>
      <c r="NE27" s="34"/>
      <c r="NF27" s="34"/>
      <c r="NG27" s="34"/>
      <c r="NH27" s="34"/>
      <c r="NI27" s="34"/>
      <c r="NJ27" s="34"/>
      <c r="NK27" s="34"/>
      <c r="NL27" s="34"/>
      <c r="NM27" s="34"/>
      <c r="NN27" s="34"/>
      <c r="NO27" s="34"/>
      <c r="NP27" s="34"/>
      <c r="NQ27" s="34"/>
      <c r="NR27" s="34"/>
      <c r="NS27" s="34"/>
      <c r="NT27" s="34"/>
      <c r="NU27" s="34"/>
      <c r="NV27" s="34"/>
      <c r="NW27" s="34"/>
      <c r="NX27" s="34"/>
      <c r="NY27" s="34"/>
      <c r="NZ27" s="34"/>
      <c r="OA27" s="34"/>
      <c r="OB27" s="34"/>
      <c r="OC27" s="34"/>
      <c r="OD27" s="34"/>
      <c r="OE27" s="34"/>
      <c r="OF27" s="34"/>
      <c r="OG27" s="34"/>
      <c r="OH27" s="34"/>
      <c r="OI27" s="34"/>
      <c r="OJ27" s="34"/>
      <c r="OK27" s="34"/>
      <c r="OL27" s="34"/>
      <c r="OM27" s="34"/>
      <c r="ON27" s="34"/>
      <c r="OO27" s="34"/>
      <c r="OP27" s="34"/>
      <c r="OQ27" s="34"/>
      <c r="OR27" s="34"/>
      <c r="OS27" s="34"/>
      <c r="OT27" s="34"/>
      <c r="OU27" s="34"/>
      <c r="OV27" s="34"/>
      <c r="OW27" s="34"/>
      <c r="OX27" s="34"/>
      <c r="OY27" s="34"/>
      <c r="OZ27" s="34"/>
      <c r="PA27" s="34"/>
      <c r="PB27" s="34"/>
      <c r="PC27" s="34"/>
      <c r="PD27" s="34"/>
      <c r="PE27" s="34"/>
      <c r="PF27" s="34"/>
      <c r="PG27" s="34"/>
      <c r="PH27" s="34"/>
      <c r="PI27" s="34"/>
      <c r="PJ27" s="34"/>
      <c r="PK27" s="34"/>
      <c r="PL27" s="34"/>
      <c r="PM27" s="34"/>
      <c r="PN27" s="34"/>
      <c r="PO27" s="34"/>
      <c r="PP27" s="34"/>
      <c r="PQ27" s="34"/>
      <c r="PR27" s="34"/>
      <c r="PS27" s="34"/>
      <c r="PT27" s="34"/>
      <c r="PU27" s="34"/>
      <c r="PV27" s="34"/>
      <c r="PW27" s="34"/>
      <c r="PX27" s="34"/>
      <c r="PY27" s="34"/>
      <c r="PZ27" s="34"/>
      <c r="QA27" s="34"/>
      <c r="QB27" s="34"/>
      <c r="QC27" s="34"/>
      <c r="QD27" s="34"/>
      <c r="QE27" s="34"/>
      <c r="QF27" s="34"/>
      <c r="QG27" s="34"/>
      <c r="QH27" s="34"/>
      <c r="QI27" s="34"/>
      <c r="QJ27" s="34"/>
      <c r="QK27" s="34"/>
      <c r="QL27" s="34"/>
      <c r="QM27" s="34"/>
      <c r="QN27" s="34"/>
      <c r="QO27" s="34"/>
      <c r="QP27" s="34"/>
      <c r="QQ27" s="34"/>
      <c r="QR27" s="34"/>
      <c r="QS27" s="34"/>
      <c r="QT27" s="34"/>
      <c r="QU27" s="34"/>
      <c r="QV27" s="34"/>
      <c r="QW27" s="34"/>
      <c r="QX27" s="34"/>
      <c r="QY27" s="34"/>
      <c r="QZ27" s="34"/>
      <c r="RA27" s="34"/>
      <c r="RB27" s="34"/>
      <c r="RC27" s="34"/>
      <c r="RD27" s="34"/>
      <c r="RE27" s="34"/>
      <c r="RF27" s="34"/>
      <c r="RG27" s="34"/>
      <c r="RH27" s="34"/>
      <c r="RI27" s="34"/>
      <c r="RJ27" s="34"/>
      <c r="RK27" s="34"/>
      <c r="RL27" s="34"/>
      <c r="RM27" s="34"/>
      <c r="RN27" s="34"/>
      <c r="RO27" s="34"/>
      <c r="RP27" s="34"/>
      <c r="RQ27" s="34"/>
      <c r="RR27" s="34"/>
      <c r="RS27" s="34"/>
      <c r="RT27" s="34"/>
      <c r="RU27" s="34"/>
      <c r="RV27" s="34"/>
      <c r="RW27" s="34"/>
      <c r="RX27" s="34"/>
      <c r="RY27" s="34"/>
      <c r="RZ27" s="34"/>
      <c r="SA27" s="34"/>
      <c r="SB27" s="34"/>
      <c r="SC27" s="34"/>
      <c r="SD27" s="34"/>
      <c r="SE27" s="34"/>
      <c r="SF27" s="34"/>
      <c r="SG27" s="34"/>
      <c r="SH27" s="34"/>
      <c r="SI27" s="34"/>
      <c r="SJ27" s="34"/>
      <c r="SK27" s="34"/>
      <c r="SL27" s="34"/>
      <c r="SM27" s="34"/>
      <c r="SN27" s="34"/>
      <c r="SO27" s="34"/>
      <c r="SP27" s="34"/>
      <c r="SQ27" s="34"/>
      <c r="SR27" s="34"/>
      <c r="SS27" s="34"/>
      <c r="ST27" s="34"/>
      <c r="SU27" s="34"/>
      <c r="SV27" s="34"/>
      <c r="SW27" s="34"/>
      <c r="SX27" s="34"/>
      <c r="SY27" s="34"/>
      <c r="SZ27" s="34"/>
      <c r="TA27" s="34"/>
      <c r="TB27" s="33"/>
    </row>
    <row r="28" spans="1:522" s="20" customFormat="1" x14ac:dyDescent="0.2">
      <c r="A28" s="20" t="s">
        <v>16</v>
      </c>
      <c r="C28" s="21"/>
      <c r="D28" s="21"/>
      <c r="E28" s="21"/>
      <c r="F28" s="21"/>
      <c r="G28" s="21"/>
      <c r="H28" s="21">
        <f>H26-H27</f>
        <v>173142.14</v>
      </c>
      <c r="I28" s="21">
        <f t="shared" ref="I28:J28" si="86">I26-I27</f>
        <v>173142.14</v>
      </c>
      <c r="J28" s="21">
        <f t="shared" si="86"/>
        <v>4044.6399999999994</v>
      </c>
      <c r="K28" s="21">
        <f>K25-K27</f>
        <v>375289.24</v>
      </c>
      <c r="L28" s="21">
        <f t="shared" ref="L28:N28" si="87">L25-L27</f>
        <v>375289.24</v>
      </c>
      <c r="M28" s="21">
        <f t="shared" si="87"/>
        <v>375289.24</v>
      </c>
      <c r="N28" s="21">
        <f t="shared" si="87"/>
        <v>375289.24</v>
      </c>
      <c r="O28" s="21">
        <f t="shared" ref="O28" si="88">O25-O27</f>
        <v>375289.24</v>
      </c>
      <c r="P28" s="21">
        <f t="shared" ref="P28" si="89">P25-P27</f>
        <v>375289.24</v>
      </c>
      <c r="Q28" s="21">
        <f t="shared" ref="Q28" si="90">Q25-Q27</f>
        <v>375289.24</v>
      </c>
      <c r="R28" s="21">
        <f t="shared" ref="R28:S28" si="91">R25-R27</f>
        <v>279826.06623016257</v>
      </c>
      <c r="S28" s="21">
        <f t="shared" si="91"/>
        <v>348411.28378267016</v>
      </c>
      <c r="T28" s="21">
        <f t="shared" ref="T28" si="92">T25-T27</f>
        <v>354098.44756811135</v>
      </c>
      <c r="U28" s="21">
        <f t="shared" ref="U28:W28" si="93">U25-U27</f>
        <v>360532.83917904471</v>
      </c>
      <c r="V28" s="21">
        <f t="shared" si="93"/>
        <v>367099.58140904579</v>
      </c>
      <c r="W28" s="21">
        <f t="shared" si="93"/>
        <v>373796.8838110753</v>
      </c>
      <c r="X28" s="21">
        <f t="shared" ref="X28" si="94">X25-X27</f>
        <v>380373.95116578316</v>
      </c>
      <c r="Y28" s="21">
        <f t="shared" ref="Y28" si="95">Y25-Y27</f>
        <v>387533.45470368204</v>
      </c>
      <c r="Z28" s="21">
        <f t="shared" ref="Z28" si="96">Z25-Z27</f>
        <v>394838.25016998325</v>
      </c>
      <c r="AA28" s="21">
        <f t="shared" ref="AA28:AC28" si="97">AA25-AA27</f>
        <v>402138.85214464611</v>
      </c>
      <c r="AB28" s="21">
        <f t="shared" si="97"/>
        <v>410373.39244939841</v>
      </c>
      <c r="AC28" s="21">
        <f t="shared" si="97"/>
        <v>418537.878278566</v>
      </c>
      <c r="AD28" s="21">
        <f t="shared" ref="AD28" si="98">AD25-AD27</f>
        <v>427246.58282063028</v>
      </c>
      <c r="AE28" s="21">
        <f t="shared" ref="AE28" si="99">AE25-AE27</f>
        <v>435723.06992686877</v>
      </c>
      <c r="AF28" s="21">
        <f t="shared" ref="AF28" si="100">AF25-AF27</f>
        <v>443901.60407489026</v>
      </c>
      <c r="AG28" s="21">
        <f t="shared" ref="AG28" si="101">AG25-AG27</f>
        <v>452483.76022403582</v>
      </c>
      <c r="AH28" s="21">
        <f t="shared" ref="AH28" si="102">AH25-AH27</f>
        <v>459580.3952947316</v>
      </c>
      <c r="AI28" s="21">
        <f t="shared" ref="AI28" si="103">AI25-AI27</f>
        <v>467603.44955580414</v>
      </c>
      <c r="AJ28" s="21">
        <f t="shared" ref="AJ28" si="104">AJ25-AJ27</f>
        <v>473780.97876670677</v>
      </c>
      <c r="AK28"/>
      <c r="AL28" s="51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 s="32"/>
    </row>
    <row r="29" spans="1:522" s="20" customFormat="1" x14ac:dyDescent="0.2">
      <c r="A29" s="20" t="s">
        <v>52</v>
      </c>
      <c r="C29" s="21">
        <f t="shared" ref="C29:J29" si="105">C23-C27+C20</f>
        <v>152208.57</v>
      </c>
      <c r="D29" s="21">
        <f t="shared" si="105"/>
        <v>152208.57</v>
      </c>
      <c r="E29" s="21">
        <f t="shared" si="105"/>
        <v>152208.57</v>
      </c>
      <c r="F29" s="21">
        <f t="shared" si="105"/>
        <v>152208.57</v>
      </c>
      <c r="G29" s="21">
        <f t="shared" si="105"/>
        <v>152208.57</v>
      </c>
      <c r="H29" s="21">
        <f t="shared" si="105"/>
        <v>151542.14000000001</v>
      </c>
      <c r="I29" s="21">
        <f t="shared" si="105"/>
        <v>151542.14000000001</v>
      </c>
      <c r="J29" s="27">
        <f t="shared" si="105"/>
        <v>160730.64000000001</v>
      </c>
      <c r="K29" s="89">
        <f>Q7</f>
        <v>325000</v>
      </c>
      <c r="L29" s="21">
        <f t="shared" ref="L29:U29" si="106">K29*$M7</f>
        <v>334750</v>
      </c>
      <c r="M29" s="21">
        <f t="shared" si="106"/>
        <v>344792.5</v>
      </c>
      <c r="N29" s="21">
        <f t="shared" si="106"/>
        <v>355136.27500000002</v>
      </c>
      <c r="O29" s="21">
        <f t="shared" si="106"/>
        <v>365790.36325000005</v>
      </c>
      <c r="P29" s="21">
        <f t="shared" si="106"/>
        <v>376764.07414750004</v>
      </c>
      <c r="Q29" s="21">
        <f t="shared" si="106"/>
        <v>388066.99637192505</v>
      </c>
      <c r="R29" s="90">
        <f t="shared" si="106"/>
        <v>399709.00626308279</v>
      </c>
      <c r="S29" s="90">
        <f t="shared" si="106"/>
        <v>411700.27645097527</v>
      </c>
      <c r="T29" s="90">
        <f t="shared" si="106"/>
        <v>424051.28474450455</v>
      </c>
      <c r="U29" s="90">
        <f t="shared" si="106"/>
        <v>436772.8232868397</v>
      </c>
      <c r="V29" s="90">
        <f>U29</f>
        <v>436772.8232868397</v>
      </c>
      <c r="W29" s="90">
        <f t="shared" ref="W29:AJ29" si="107">V29</f>
        <v>436772.8232868397</v>
      </c>
      <c r="X29" s="90">
        <f t="shared" si="107"/>
        <v>436772.8232868397</v>
      </c>
      <c r="Y29" s="90">
        <f t="shared" si="107"/>
        <v>436772.8232868397</v>
      </c>
      <c r="Z29" s="90">
        <f t="shared" si="107"/>
        <v>436772.8232868397</v>
      </c>
      <c r="AA29" s="90">
        <f t="shared" si="107"/>
        <v>436772.8232868397</v>
      </c>
      <c r="AB29" s="90">
        <f t="shared" si="107"/>
        <v>436772.8232868397</v>
      </c>
      <c r="AC29" s="90">
        <f t="shared" si="107"/>
        <v>436772.8232868397</v>
      </c>
      <c r="AD29" s="90">
        <f t="shared" si="107"/>
        <v>436772.8232868397</v>
      </c>
      <c r="AE29" s="90">
        <f t="shared" si="107"/>
        <v>436772.8232868397</v>
      </c>
      <c r="AF29" s="90">
        <f t="shared" si="107"/>
        <v>436772.8232868397</v>
      </c>
      <c r="AG29" s="90">
        <f t="shared" si="107"/>
        <v>436772.8232868397</v>
      </c>
      <c r="AH29" s="90">
        <f t="shared" si="107"/>
        <v>436772.8232868397</v>
      </c>
      <c r="AI29" s="90">
        <f t="shared" si="107"/>
        <v>436772.8232868397</v>
      </c>
      <c r="AJ29" s="90">
        <f t="shared" si="107"/>
        <v>436772.8232868397</v>
      </c>
      <c r="AK29"/>
      <c r="AL29" s="51">
        <f>SUM(C29:AK29)</f>
        <v>11938983.718817417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 s="32"/>
    </row>
    <row r="30" spans="1:522" s="20" customFormat="1" x14ac:dyDescent="0.2">
      <c r="A30" s="20" t="s">
        <v>53</v>
      </c>
      <c r="C30" s="21"/>
      <c r="D30" s="21"/>
      <c r="E30" s="21"/>
      <c r="F30" s="21"/>
      <c r="G30" s="21"/>
      <c r="H30" s="21"/>
      <c r="I30" s="21"/>
      <c r="J30" s="27"/>
      <c r="K30" s="89">
        <f>K20+K28-K24</f>
        <v>325000</v>
      </c>
      <c r="L30" s="89">
        <f>L20+L28-L24</f>
        <v>334750</v>
      </c>
      <c r="M30" s="89">
        <f t="shared" ref="M30:Q30" si="108">M20+M28-M24</f>
        <v>344792.5</v>
      </c>
      <c r="N30" s="89">
        <f t="shared" si="108"/>
        <v>355136.27499999997</v>
      </c>
      <c r="O30" s="89">
        <f>O20+O28-O24</f>
        <v>365790.36325000005</v>
      </c>
      <c r="P30" s="89">
        <f t="shared" si="108"/>
        <v>376764.07414750004</v>
      </c>
      <c r="Q30" s="89">
        <f t="shared" si="108"/>
        <v>388066.99637192511</v>
      </c>
      <c r="R30" s="89">
        <f>R20+R28-R24</f>
        <v>399709.00626308279</v>
      </c>
      <c r="S30" s="90">
        <f>S28+S17</f>
        <v>411700.27645097527</v>
      </c>
      <c r="T30" s="90">
        <f t="shared" ref="T30:X30" si="109">T28+T17</f>
        <v>424051.28474450455</v>
      </c>
      <c r="U30" s="90">
        <f t="shared" si="109"/>
        <v>436772.8232868397</v>
      </c>
      <c r="V30" s="90">
        <f t="shared" si="109"/>
        <v>436772.8232868397</v>
      </c>
      <c r="W30" s="90">
        <f t="shared" si="109"/>
        <v>436772.8232868397</v>
      </c>
      <c r="X30" s="90">
        <f t="shared" si="109"/>
        <v>436772.8232868397</v>
      </c>
      <c r="Y30" s="90">
        <f>Y28+Y17</f>
        <v>436772.8232868397</v>
      </c>
      <c r="Z30" s="90">
        <f>Z28+Z17</f>
        <v>436772.8232868397</v>
      </c>
      <c r="AA30" s="90">
        <f>AA28+AA17</f>
        <v>436772.8232868397</v>
      </c>
      <c r="AB30" s="90">
        <f>AB28+AB17</f>
        <v>436772.8232868397</v>
      </c>
      <c r="AC30" s="90">
        <f t="shared" ref="AC30:AJ30" si="110">AC28+AC17</f>
        <v>436772.8232868397</v>
      </c>
      <c r="AD30" s="90">
        <f t="shared" si="110"/>
        <v>436772.8232868397</v>
      </c>
      <c r="AE30" s="90">
        <f t="shared" si="110"/>
        <v>436772.8232868397</v>
      </c>
      <c r="AF30" s="90">
        <f t="shared" si="110"/>
        <v>443901.60407489026</v>
      </c>
      <c r="AG30" s="90">
        <f t="shared" si="110"/>
        <v>452483.76022403582</v>
      </c>
      <c r="AH30" s="90">
        <f t="shared" si="110"/>
        <v>459580.3952947316</v>
      </c>
      <c r="AI30" s="90">
        <f t="shared" si="110"/>
        <v>467603.44955580414</v>
      </c>
      <c r="AJ30" s="90">
        <f t="shared" si="110"/>
        <v>473780.97876670677</v>
      </c>
      <c r="AK30"/>
      <c r="AL30" s="51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 s="32"/>
    </row>
    <row r="31" spans="1:522" s="10" customFormat="1" x14ac:dyDescent="0.2">
      <c r="A31" s="10" t="s">
        <v>32</v>
      </c>
      <c r="C31" s="13">
        <f t="shared" ref="C31:AJ31" si="111">C29/12</f>
        <v>12684.047500000001</v>
      </c>
      <c r="D31" s="13">
        <f t="shared" si="111"/>
        <v>12684.047500000001</v>
      </c>
      <c r="E31" s="13">
        <f t="shared" si="111"/>
        <v>12684.047500000001</v>
      </c>
      <c r="F31" s="13">
        <f t="shared" si="111"/>
        <v>12684.047500000001</v>
      </c>
      <c r="G31" s="13">
        <f t="shared" si="111"/>
        <v>12684.047500000001</v>
      </c>
      <c r="H31" s="13">
        <f t="shared" si="111"/>
        <v>12628.511666666667</v>
      </c>
      <c r="I31" s="13">
        <f t="shared" si="111"/>
        <v>12628.511666666667</v>
      </c>
      <c r="J31" s="65">
        <f t="shared" si="111"/>
        <v>13394.220000000001</v>
      </c>
      <c r="K31" s="87">
        <f t="shared" si="111"/>
        <v>27083.333333333332</v>
      </c>
      <c r="L31" s="13">
        <f t="shared" si="111"/>
        <v>27895.833333333332</v>
      </c>
      <c r="M31" s="13">
        <f t="shared" si="111"/>
        <v>28732.708333333332</v>
      </c>
      <c r="N31" s="13">
        <f t="shared" si="111"/>
        <v>29594.689583333336</v>
      </c>
      <c r="O31" s="13">
        <f t="shared" si="111"/>
        <v>30482.530270833337</v>
      </c>
      <c r="P31" s="13">
        <f t="shared" si="111"/>
        <v>31397.006178958338</v>
      </c>
      <c r="Q31" s="13">
        <f t="shared" si="111"/>
        <v>32338.916364327088</v>
      </c>
      <c r="R31" s="88">
        <f t="shared" si="111"/>
        <v>33309.083855256897</v>
      </c>
      <c r="S31" s="88">
        <f t="shared" si="111"/>
        <v>34308.356370914604</v>
      </c>
      <c r="T31" s="88">
        <f t="shared" si="111"/>
        <v>35337.607062042043</v>
      </c>
      <c r="U31" s="88">
        <f t="shared" si="111"/>
        <v>36397.735273903309</v>
      </c>
      <c r="V31" s="88">
        <f t="shared" si="111"/>
        <v>36397.735273903309</v>
      </c>
      <c r="W31" s="88">
        <f t="shared" si="111"/>
        <v>36397.735273903309</v>
      </c>
      <c r="X31" s="88">
        <f t="shared" si="111"/>
        <v>36397.735273903309</v>
      </c>
      <c r="Y31" s="88">
        <f t="shared" si="111"/>
        <v>36397.735273903309</v>
      </c>
      <c r="Z31" s="88">
        <f t="shared" si="111"/>
        <v>36397.735273903309</v>
      </c>
      <c r="AA31" s="88">
        <f t="shared" si="111"/>
        <v>36397.735273903309</v>
      </c>
      <c r="AB31" s="13">
        <f t="shared" si="111"/>
        <v>36397.735273903309</v>
      </c>
      <c r="AC31" s="13">
        <f t="shared" si="111"/>
        <v>36397.735273903309</v>
      </c>
      <c r="AD31" s="13">
        <f t="shared" si="111"/>
        <v>36397.735273903309</v>
      </c>
      <c r="AE31" s="13">
        <f t="shared" si="111"/>
        <v>36397.735273903309</v>
      </c>
      <c r="AF31" s="13">
        <f t="shared" si="111"/>
        <v>36397.735273903309</v>
      </c>
      <c r="AG31" s="13">
        <f t="shared" si="111"/>
        <v>36397.735273903309</v>
      </c>
      <c r="AH31" s="13">
        <f t="shared" si="111"/>
        <v>36397.735273903309</v>
      </c>
      <c r="AI31" s="13">
        <f t="shared" si="111"/>
        <v>36397.735273903309</v>
      </c>
      <c r="AJ31" s="13">
        <f t="shared" si="111"/>
        <v>36397.735273903309</v>
      </c>
      <c r="AK31" s="1"/>
      <c r="AL31" s="51">
        <f t="shared" ref="AL31" si="112">SUM(C31:AK31)</f>
        <v>994915.30990145239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31"/>
    </row>
    <row r="32" spans="1:522" x14ac:dyDescent="0.2">
      <c r="C32" s="2"/>
      <c r="D32" s="2"/>
      <c r="E32" s="2"/>
      <c r="F32" s="2"/>
      <c r="G32" s="2"/>
      <c r="H32" s="2"/>
      <c r="I32" s="2"/>
      <c r="J32" s="2"/>
      <c r="K32" s="95"/>
      <c r="L32" s="96"/>
      <c r="M32" s="96"/>
      <c r="N32" s="96"/>
      <c r="O32" s="96"/>
      <c r="P32" s="96"/>
      <c r="Q32" s="96"/>
      <c r="R32" s="97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521" x14ac:dyDescent="0.2">
      <c r="J33" t="s">
        <v>48</v>
      </c>
      <c r="K33" s="98">
        <f>K20+K28-K24</f>
        <v>325000</v>
      </c>
      <c r="L33" s="98">
        <f>L20+L28-L24</f>
        <v>334750</v>
      </c>
      <c r="M33" s="51">
        <f t="shared" ref="M33:U33" si="113">M20+M30-M24+M21</f>
        <v>388951.47502065694</v>
      </c>
      <c r="N33" s="51">
        <f t="shared" si="113"/>
        <v>406150.57353442762</v>
      </c>
      <c r="O33" s="51">
        <f t="shared" si="113"/>
        <v>423361.42697026546</v>
      </c>
      <c r="P33" s="51">
        <f t="shared" si="113"/>
        <v>440546.25686856557</v>
      </c>
      <c r="Q33" s="51">
        <f t="shared" si="113"/>
        <v>460104.48408603837</v>
      </c>
      <c r="R33" s="99">
        <f t="shared" si="113"/>
        <v>575246.4783510596</v>
      </c>
      <c r="S33" s="51">
        <f t="shared" si="113"/>
        <v>528074.66485522245</v>
      </c>
      <c r="T33" s="51">
        <f t="shared" si="113"/>
        <v>546681.37377954531</v>
      </c>
      <c r="U33" s="51">
        <f t="shared" si="113"/>
        <v>564999.03584057244</v>
      </c>
      <c r="V33" s="51">
        <f>U33</f>
        <v>564999.03584057244</v>
      </c>
      <c r="W33" s="51">
        <f t="shared" ref="W33:AD33" si="114">V33</f>
        <v>564999.03584057244</v>
      </c>
      <c r="X33" s="51">
        <f t="shared" si="114"/>
        <v>564999.03584057244</v>
      </c>
      <c r="Y33" s="51">
        <f t="shared" si="114"/>
        <v>564999.03584057244</v>
      </c>
      <c r="Z33" s="51">
        <f t="shared" si="114"/>
        <v>564999.03584057244</v>
      </c>
      <c r="AA33" s="51">
        <f t="shared" si="114"/>
        <v>564999.03584057244</v>
      </c>
      <c r="AB33" s="51">
        <f t="shared" si="114"/>
        <v>564999.03584057244</v>
      </c>
      <c r="AC33" s="51">
        <f t="shared" si="114"/>
        <v>564999.03584057244</v>
      </c>
      <c r="AD33" s="51">
        <f t="shared" si="114"/>
        <v>564999.03584057244</v>
      </c>
      <c r="AE33" s="51">
        <f t="shared" ref="AE33:AJ33" si="115">AD33</f>
        <v>564999.03584057244</v>
      </c>
      <c r="AF33" s="51">
        <f t="shared" si="115"/>
        <v>564999.03584057244</v>
      </c>
      <c r="AG33" s="51">
        <f t="shared" si="115"/>
        <v>564999.03584057244</v>
      </c>
      <c r="AH33" s="51">
        <f t="shared" si="115"/>
        <v>564999.03584057244</v>
      </c>
      <c r="AI33" s="51">
        <f t="shared" si="115"/>
        <v>564999.03584057244</v>
      </c>
      <c r="AJ33" s="51">
        <f t="shared" si="115"/>
        <v>564999.03584057244</v>
      </c>
    </row>
    <row r="34" spans="1:521" x14ac:dyDescent="0.2">
      <c r="A34" s="1" t="s">
        <v>13</v>
      </c>
      <c r="C34" s="50"/>
      <c r="K34" s="85"/>
      <c r="R34" s="86"/>
    </row>
    <row r="35" spans="1:521" s="11" customFormat="1" x14ac:dyDescent="0.2">
      <c r="A35" s="8" t="s">
        <v>9</v>
      </c>
      <c r="B35" s="8"/>
      <c r="C35" s="9">
        <f>370632*1.03-C16</f>
        <v>381750.96</v>
      </c>
      <c r="D35" s="9">
        <f>C35*$J$7-D16</f>
        <v>404656.01760000002</v>
      </c>
      <c r="E35" s="9">
        <f>D35*$J$7-E16</f>
        <v>428935.37865600002</v>
      </c>
      <c r="F35" s="9">
        <f>E35*$J$7-F16</f>
        <v>454671.50137536007</v>
      </c>
      <c r="G35" s="9">
        <f>F35*$J$7-G16</f>
        <v>481951.79145788169</v>
      </c>
      <c r="H35" s="9">
        <v>300000</v>
      </c>
      <c r="I35" s="9">
        <f>H35*$J$7-I16</f>
        <v>318000</v>
      </c>
      <c r="J35" s="64">
        <f>Sheet1!E5</f>
        <v>300000</v>
      </c>
      <c r="K35" s="83">
        <f t="shared" ref="K35:R35" si="116">J35*$J$7-K16+K24</f>
        <v>508743.67479674792</v>
      </c>
      <c r="L35" s="9">
        <f t="shared" si="116"/>
        <v>730542.04757951351</v>
      </c>
      <c r="M35" s="9">
        <f t="shared" si="116"/>
        <v>966738.3126106736</v>
      </c>
      <c r="N35" s="9">
        <f t="shared" si="116"/>
        <v>1218495.916505798</v>
      </c>
      <c r="O35" s="9">
        <f t="shared" si="116"/>
        <v>1487239.2861339082</v>
      </c>
      <c r="P35" s="9">
        <f t="shared" si="116"/>
        <v>1713496.5885124425</v>
      </c>
      <c r="Q35" s="9">
        <f t="shared" si="116"/>
        <v>1952918.3409717402</v>
      </c>
      <c r="R35" s="84">
        <f t="shared" si="116"/>
        <v>2070093.4414300448</v>
      </c>
      <c r="S35" s="72">
        <f t="shared" ref="S35:AJ35" si="117">R35*$J$7-S16</f>
        <v>2194299.0479158475</v>
      </c>
      <c r="T35" s="9">
        <f t="shared" si="117"/>
        <v>2325956.9907907983</v>
      </c>
      <c r="U35" s="9">
        <f t="shared" si="117"/>
        <v>2465514.4102382464</v>
      </c>
      <c r="V35" s="9">
        <f t="shared" si="117"/>
        <v>2613445.2748525413</v>
      </c>
      <c r="W35" s="9">
        <f t="shared" si="117"/>
        <v>2770251.9913436938</v>
      </c>
      <c r="X35" s="9">
        <f t="shared" si="117"/>
        <v>2936467.1108243158</v>
      </c>
      <c r="Y35" s="9">
        <f t="shared" si="117"/>
        <v>3112655.1374737751</v>
      </c>
      <c r="Z35" s="9">
        <f t="shared" si="117"/>
        <v>3299414.4457222018</v>
      </c>
      <c r="AA35" s="9">
        <f t="shared" si="117"/>
        <v>3497379.3124655341</v>
      </c>
      <c r="AB35" s="9">
        <f t="shared" si="117"/>
        <v>3707222.0712134661</v>
      </c>
      <c r="AC35" s="9">
        <f t="shared" si="117"/>
        <v>3929655.3954862743</v>
      </c>
      <c r="AD35" s="9">
        <f t="shared" si="117"/>
        <v>4165434.7192154508</v>
      </c>
      <c r="AE35" s="9">
        <f t="shared" si="117"/>
        <v>4415360.8023683783</v>
      </c>
      <c r="AF35" s="9">
        <f t="shared" si="117"/>
        <v>4680282.4505104814</v>
      </c>
      <c r="AG35" s="9">
        <f t="shared" si="117"/>
        <v>4961099.3975411104</v>
      </c>
      <c r="AH35" s="9">
        <f t="shared" si="117"/>
        <v>5258765.3613935774</v>
      </c>
      <c r="AI35" s="9">
        <f t="shared" si="117"/>
        <v>5574291.2830771925</v>
      </c>
      <c r="AJ35" s="9">
        <f t="shared" si="117"/>
        <v>5908748.7600618247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</row>
    <row r="36" spans="1:521" s="12" customFormat="1" x14ac:dyDescent="0.2">
      <c r="A36" s="8" t="s">
        <v>7</v>
      </c>
      <c r="B36" s="8"/>
      <c r="C36" s="9">
        <f>566294*1.03-46500</f>
        <v>536782.82000000007</v>
      </c>
      <c r="D36" s="9">
        <f>C36*$J$7-D13</f>
        <v>568989.78920000012</v>
      </c>
      <c r="E36" s="9">
        <f>D36*$J$7-E13</f>
        <v>603129.17655200011</v>
      </c>
      <c r="F36" s="9">
        <f>E36*$J$7-F13</f>
        <v>639316.92714512011</v>
      </c>
      <c r="G36" s="9">
        <f>F36*$J$7-G13</f>
        <v>677675.94277382735</v>
      </c>
      <c r="H36" s="9">
        <v>695000</v>
      </c>
      <c r="I36" s="9">
        <f>H36*$J$7-I13</f>
        <v>736700</v>
      </c>
      <c r="J36" s="64">
        <f>Sheet1!E6</f>
        <v>800000</v>
      </c>
      <c r="K36" s="83">
        <f t="shared" ref="K36:AJ36" si="118">J36*$J$7-K13</f>
        <v>815479.67479674798</v>
      </c>
      <c r="L36" s="9">
        <f t="shared" si="118"/>
        <v>830000.03018764372</v>
      </c>
      <c r="M36" s="9">
        <f t="shared" si="118"/>
        <v>843555.48919594847</v>
      </c>
      <c r="N36" s="9">
        <f t="shared" si="118"/>
        <v>855825.3872206168</v>
      </c>
      <c r="O36" s="9">
        <f t="shared" si="118"/>
        <v>866614.46556188154</v>
      </c>
      <c r="P36" s="9">
        <f t="shared" si="118"/>
        <v>875709.62727965973</v>
      </c>
      <c r="Q36" s="9">
        <f t="shared" si="118"/>
        <v>883112.53340717859</v>
      </c>
      <c r="R36" s="84">
        <f t="shared" si="118"/>
        <v>888363.47279500507</v>
      </c>
      <c r="S36" s="72">
        <f t="shared" si="118"/>
        <v>891475.25445112318</v>
      </c>
      <c r="T36" s="9">
        <f t="shared" si="118"/>
        <v>891899.76647705236</v>
      </c>
      <c r="U36" s="9">
        <f t="shared" si="118"/>
        <v>889670.01706085983</v>
      </c>
      <c r="V36" s="9">
        <f t="shared" si="118"/>
        <v>884519.29590945493</v>
      </c>
      <c r="W36" s="9">
        <f t="shared" si="118"/>
        <v>876165.502559199</v>
      </c>
      <c r="X36" s="9">
        <f t="shared" si="118"/>
        <v>864781.74639456125</v>
      </c>
      <c r="Y36" s="9">
        <f t="shared" si="118"/>
        <v>849631.30649648607</v>
      </c>
      <c r="Z36" s="9">
        <f t="shared" si="118"/>
        <v>830967.2745177109</v>
      </c>
      <c r="AA36" s="9">
        <f t="shared" si="118"/>
        <v>808567.28711766831</v>
      </c>
      <c r="AB36" s="9">
        <f t="shared" si="118"/>
        <v>782213.98294494441</v>
      </c>
      <c r="AC36" s="9">
        <f t="shared" si="118"/>
        <v>751699.89291719114</v>
      </c>
      <c r="AD36" s="9">
        <f t="shared" si="118"/>
        <v>717675.58197462361</v>
      </c>
      <c r="AE36" s="9">
        <f t="shared" si="118"/>
        <v>680098.41105325567</v>
      </c>
      <c r="AF36" s="9">
        <f t="shared" si="118"/>
        <v>639940.21916249208</v>
      </c>
      <c r="AG36" s="9">
        <f t="shared" si="118"/>
        <v>596293.01447089645</v>
      </c>
      <c r="AH36" s="9">
        <f t="shared" si="118"/>
        <v>550386.62075409596</v>
      </c>
      <c r="AI36" s="9">
        <f t="shared" si="118"/>
        <v>502470.60906491592</v>
      </c>
      <c r="AJ36" s="9">
        <f t="shared" si="118"/>
        <v>454107.8129424178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</row>
    <row r="37" spans="1:521" s="11" customFormat="1" x14ac:dyDescent="0.2">
      <c r="A37" s="8" t="s">
        <v>8</v>
      </c>
      <c r="B37" s="8"/>
      <c r="C37" s="9">
        <f>568057*1.03</f>
        <v>585098.71</v>
      </c>
      <c r="D37" s="9">
        <f>C37*$J$7-D15</f>
        <v>620204.63260000001</v>
      </c>
      <c r="E37" s="9">
        <f>D37*$J$7-E15</f>
        <v>657416.91055600008</v>
      </c>
      <c r="F37" s="9">
        <f>E37*$J$7-F15</f>
        <v>696861.92518936016</v>
      </c>
      <c r="G37" s="9">
        <f>F37*$J$7-G15</f>
        <v>738673.64070072176</v>
      </c>
      <c r="H37" s="9">
        <v>842000</v>
      </c>
      <c r="I37" s="9">
        <f>H37*$J$7-I15</f>
        <v>892520</v>
      </c>
      <c r="J37" s="64">
        <f>Sheet1!E4</f>
        <v>1025000</v>
      </c>
      <c r="K37" s="83">
        <f t="shared" ref="K37:AJ37" si="119">J37*$J$7-K15</f>
        <v>895756.32520325202</v>
      </c>
      <c r="L37" s="9">
        <f t="shared" si="119"/>
        <v>758227.95242048649</v>
      </c>
      <c r="M37" s="9">
        <f t="shared" si="119"/>
        <v>611357.88738932647</v>
      </c>
      <c r="N37" s="9">
        <f t="shared" si="119"/>
        <v>454286.05549420224</v>
      </c>
      <c r="O37" s="9">
        <f t="shared" si="119"/>
        <v>285909.6041860921</v>
      </c>
      <c r="P37" s="9">
        <f t="shared" si="119"/>
        <v>166041.23522675782</v>
      </c>
      <c r="Q37" s="9">
        <f t="shared" si="119"/>
        <v>39391.752191812295</v>
      </c>
      <c r="R37" s="84">
        <f t="shared" si="119"/>
        <v>41755.257323321035</v>
      </c>
      <c r="S37" s="72">
        <f t="shared" si="119"/>
        <v>42684.902675047808</v>
      </c>
      <c r="T37" s="9">
        <f t="shared" si="119"/>
        <v>43572.079083588018</v>
      </c>
      <c r="U37" s="9">
        <f t="shared" si="119"/>
        <v>44415.181101628179</v>
      </c>
      <c r="V37" s="9">
        <f t="shared" si="119"/>
        <v>45206.03369339557</v>
      </c>
      <c r="W37" s="9">
        <f t="shared" si="119"/>
        <v>45944.333108300809</v>
      </c>
      <c r="X37" s="9">
        <f t="shared" si="119"/>
        <v>46612.614317148822</v>
      </c>
      <c r="Y37" s="9">
        <f t="shared" si="119"/>
        <v>47200.242535554586</v>
      </c>
      <c r="Z37" s="9">
        <f t="shared" si="119"/>
        <v>47695.611417610897</v>
      </c>
      <c r="AA37" s="9">
        <f t="shared" si="119"/>
        <v>48098.811431656679</v>
      </c>
      <c r="AB37" s="9">
        <f t="shared" si="119"/>
        <v>48384.804364493561</v>
      </c>
      <c r="AC37" s="9">
        <f t="shared" si="119"/>
        <v>48554.287860007615</v>
      </c>
      <c r="AD37" s="9">
        <f t="shared" si="119"/>
        <v>48577.408949464763</v>
      </c>
      <c r="AE37" s="9">
        <f t="shared" si="119"/>
        <v>48455.965427091105</v>
      </c>
      <c r="AF37" s="9">
        <f t="shared" si="119"/>
        <v>48175.430890407944</v>
      </c>
      <c r="AG37" s="9">
        <f t="shared" si="119"/>
        <v>47720.440709776318</v>
      </c>
      <c r="AH37" s="9">
        <f t="shared" si="119"/>
        <v>47100.423304933967</v>
      </c>
      <c r="AI37" s="9">
        <f t="shared" si="119"/>
        <v>46275.253098196372</v>
      </c>
      <c r="AJ37" s="9">
        <f t="shared" si="119"/>
        <v>45258.714751449108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</row>
    <row r="38" spans="1:521" s="11" customFormat="1" x14ac:dyDescent="0.2">
      <c r="A38" s="8" t="s">
        <v>51</v>
      </c>
      <c r="B38" s="8"/>
      <c r="C38" s="9">
        <v>451786</v>
      </c>
      <c r="D38" s="9">
        <f>C38*$J$7-D17</f>
        <v>478893.16000000003</v>
      </c>
      <c r="E38" s="9">
        <f>D38*$J$7-E17</f>
        <v>507626.74960000004</v>
      </c>
      <c r="F38" s="9">
        <f>E38*$J$7-F17</f>
        <v>538084.35457600001</v>
      </c>
      <c r="G38" s="9">
        <f>F38*$J$7-G17</f>
        <v>570369.41585056006</v>
      </c>
      <c r="H38" s="9">
        <v>650000</v>
      </c>
      <c r="I38" s="9">
        <f>H38*$J$7-I17</f>
        <v>689000</v>
      </c>
      <c r="J38" s="64">
        <v>2000000</v>
      </c>
      <c r="K38" s="83">
        <f>J38*$T$7-K17</f>
        <v>1939545.565203252</v>
      </c>
      <c r="L38" s="83">
        <f t="shared" ref="L38:AI38" si="120">K38*$T$7-L17</f>
        <v>1866392.8755164214</v>
      </c>
      <c r="M38" s="83">
        <f t="shared" si="120"/>
        <v>1779181.5883606891</v>
      </c>
      <c r="N38" s="83">
        <f t="shared" si="120"/>
        <v>1676748.5117566329</v>
      </c>
      <c r="O38" s="83">
        <f t="shared" si="120"/>
        <v>1557683.7143391361</v>
      </c>
      <c r="P38" s="83">
        <f t="shared" si="120"/>
        <v>1481493.2835547018</v>
      </c>
      <c r="Q38" s="83">
        <f t="shared" si="120"/>
        <v>1391363.3013764138</v>
      </c>
      <c r="R38" s="83">
        <f t="shared" si="120"/>
        <v>1327134.8933985503</v>
      </c>
      <c r="S38" s="83">
        <f t="shared" si="120"/>
        <v>1316931.2964661873</v>
      </c>
      <c r="T38" s="83">
        <f t="shared" si="120"/>
        <v>1299655.7111484415</v>
      </c>
      <c r="U38" s="83">
        <f t="shared" si="120"/>
        <v>1275401.9554865842</v>
      </c>
      <c r="V38" s="83">
        <f t="shared" si="120"/>
        <v>1256744.7918282538</v>
      </c>
      <c r="W38" s="83">
        <f t="shared" si="120"/>
        <v>1244038.6440256196</v>
      </c>
      <c r="X38" s="83">
        <f t="shared" si="120"/>
        <v>1237401.3176655879</v>
      </c>
      <c r="Y38" s="83">
        <f t="shared" si="120"/>
        <v>1237658.0017890537</v>
      </c>
      <c r="Z38" s="83">
        <f t="shared" si="120"/>
        <v>1245229.7487437595</v>
      </c>
      <c r="AA38" s="83">
        <f t="shared" si="120"/>
        <v>1260404.9675513164</v>
      </c>
      <c r="AB38" s="83">
        <f t="shared" si="120"/>
        <v>1284421.7354159278</v>
      </c>
      <c r="AC38" s="83">
        <f t="shared" si="120"/>
        <v>1317563.6598242912</v>
      </c>
      <c r="AD38" s="83">
        <f t="shared" si="120"/>
        <v>1360739.9657510535</v>
      </c>
      <c r="AE38" s="83">
        <f t="shared" si="120"/>
        <v>1414119.8110211249</v>
      </c>
      <c r="AF38" s="83">
        <f t="shared" si="120"/>
        <v>1470684.6034619699</v>
      </c>
      <c r="AG38" s="83">
        <f t="shared" si="120"/>
        <v>1529511.9876004488</v>
      </c>
      <c r="AH38" s="83">
        <f t="shared" si="120"/>
        <v>1590692.4671044669</v>
      </c>
      <c r="AI38" s="83">
        <f t="shared" si="120"/>
        <v>1654320.1657886456</v>
      </c>
      <c r="AJ38" s="83">
        <f>AI38*$T$7-AJ17</f>
        <v>1720492.9724201914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</row>
    <row r="39" spans="1:521" s="11" customFormat="1" x14ac:dyDescent="0.2">
      <c r="A39" s="8" t="s">
        <v>35</v>
      </c>
      <c r="B39" s="8"/>
      <c r="C39" s="9"/>
      <c r="D39" s="9"/>
      <c r="E39" s="9"/>
      <c r="F39" s="9"/>
      <c r="G39" s="9"/>
      <c r="H39" s="9">
        <v>908000</v>
      </c>
      <c r="I39" s="9">
        <f>H39*$J$7-I14</f>
        <v>962480</v>
      </c>
      <c r="J39" s="64">
        <f>Sheet1!E9</f>
        <v>1583637.0000000002</v>
      </c>
      <c r="K39" s="83">
        <f t="shared" ref="K39:AJ39" si="121">J39*$J$7-K14</f>
        <v>1678655.2200000004</v>
      </c>
      <c r="L39" s="9">
        <f t="shared" si="121"/>
        <v>1779374.5332000006</v>
      </c>
      <c r="M39" s="9">
        <f t="shared" si="121"/>
        <v>1886137.0051920009</v>
      </c>
      <c r="N39" s="9">
        <f t="shared" si="121"/>
        <v>1999305.225503521</v>
      </c>
      <c r="O39" s="9">
        <f t="shared" si="121"/>
        <v>2119263.5390337324</v>
      </c>
      <c r="P39" s="9">
        <f t="shared" si="121"/>
        <v>2246419.3513757563</v>
      </c>
      <c r="Q39" s="9">
        <f t="shared" si="121"/>
        <v>2381204.5124583016</v>
      </c>
      <c r="R39" s="84">
        <f t="shared" si="121"/>
        <v>2524076.7832057998</v>
      </c>
      <c r="S39" s="72">
        <f t="shared" si="121"/>
        <v>2580273.2096998156</v>
      </c>
      <c r="T39" s="9">
        <f t="shared" si="121"/>
        <v>2633902.4175876942</v>
      </c>
      <c r="U39" s="9">
        <f t="shared" si="121"/>
        <v>2684867.3586759767</v>
      </c>
      <c r="V39" s="9">
        <f t="shared" si="121"/>
        <v>2732673.8576363679</v>
      </c>
      <c r="W39" s="9">
        <f t="shared" si="121"/>
        <v>2777303.5529532242</v>
      </c>
      <c r="X39" s="9">
        <f t="shared" si="121"/>
        <v>2817700.6955416347</v>
      </c>
      <c r="Y39" s="9">
        <f t="shared" si="121"/>
        <v>2853222.419949885</v>
      </c>
      <c r="Z39" s="9">
        <f t="shared" si="121"/>
        <v>2883167.1304958938</v>
      </c>
      <c r="AA39" s="9">
        <f t="shared" si="121"/>
        <v>2907540.2959289518</v>
      </c>
      <c r="AB39" s="9">
        <f t="shared" si="121"/>
        <v>2924828.3733642055</v>
      </c>
      <c r="AC39" s="9">
        <f t="shared" si="121"/>
        <v>2935073.5348980241</v>
      </c>
      <c r="AD39" s="9">
        <f t="shared" si="121"/>
        <v>2936471.1889622612</v>
      </c>
      <c r="AE39" s="9">
        <f t="shared" si="121"/>
        <v>2929130.010989856</v>
      </c>
      <c r="AF39" s="9">
        <f t="shared" si="121"/>
        <v>2912171.8898735992</v>
      </c>
      <c r="AG39" s="9">
        <f t="shared" si="121"/>
        <v>2884668.0442470154</v>
      </c>
      <c r="AH39" s="9">
        <f t="shared" si="121"/>
        <v>2847188.4156429302</v>
      </c>
      <c r="AI39" s="9">
        <f t="shared" si="121"/>
        <v>2797307.4402991086</v>
      </c>
      <c r="AJ39" s="9">
        <f t="shared" si="121"/>
        <v>2735858.3916105712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</row>
    <row r="40" spans="1:521" s="14" customFormat="1" x14ac:dyDescent="0.2">
      <c r="A40" s="10" t="s">
        <v>14</v>
      </c>
      <c r="B40" s="10"/>
      <c r="C40" s="13">
        <f t="shared" ref="C40:AJ40" si="122">SUM(C35:C39)</f>
        <v>1955418.49</v>
      </c>
      <c r="D40" s="13">
        <f t="shared" si="122"/>
        <v>2072743.5994000002</v>
      </c>
      <c r="E40" s="13">
        <f t="shared" si="122"/>
        <v>2197108.2153640003</v>
      </c>
      <c r="F40" s="13">
        <f t="shared" si="122"/>
        <v>2328934.7082858402</v>
      </c>
      <c r="G40" s="13">
        <f t="shared" si="122"/>
        <v>2468670.7907829909</v>
      </c>
      <c r="H40" s="13">
        <f t="shared" si="122"/>
        <v>3395000</v>
      </c>
      <c r="I40" s="13">
        <f t="shared" si="122"/>
        <v>3598700</v>
      </c>
      <c r="J40" s="65">
        <f t="shared" si="122"/>
        <v>5708637</v>
      </c>
      <c r="K40" s="87">
        <f t="shared" si="122"/>
        <v>5838180.4600000009</v>
      </c>
      <c r="L40" s="13">
        <f t="shared" si="122"/>
        <v>5964537.4389040656</v>
      </c>
      <c r="M40" s="13">
        <f t="shared" si="122"/>
        <v>6086970.2827486377</v>
      </c>
      <c r="N40" s="13">
        <f t="shared" si="122"/>
        <v>6204661.096480771</v>
      </c>
      <c r="O40" s="13">
        <f t="shared" si="122"/>
        <v>6316710.6092547504</v>
      </c>
      <c r="P40" s="13">
        <f t="shared" si="122"/>
        <v>6483160.0859493185</v>
      </c>
      <c r="Q40" s="13">
        <f t="shared" si="122"/>
        <v>6647990.440405447</v>
      </c>
      <c r="R40" s="88">
        <f t="shared" si="122"/>
        <v>6851423.8481527213</v>
      </c>
      <c r="S40" s="73">
        <f t="shared" si="122"/>
        <v>7025663.7112080213</v>
      </c>
      <c r="T40" s="13">
        <f t="shared" si="122"/>
        <v>7194986.965087574</v>
      </c>
      <c r="U40" s="13">
        <f t="shared" si="122"/>
        <v>7359868.9225632958</v>
      </c>
      <c r="V40" s="13">
        <f t="shared" si="122"/>
        <v>7532589.2539200131</v>
      </c>
      <c r="W40" s="13">
        <f t="shared" si="122"/>
        <v>7713704.0239900369</v>
      </c>
      <c r="X40" s="13">
        <f t="shared" si="122"/>
        <v>7902963.4847432487</v>
      </c>
      <c r="Y40" s="13">
        <f t="shared" si="122"/>
        <v>8100367.1082447544</v>
      </c>
      <c r="Z40" s="13">
        <f t="shared" si="122"/>
        <v>8306474.2108971765</v>
      </c>
      <c r="AA40" s="13">
        <f t="shared" si="122"/>
        <v>8521990.6744951271</v>
      </c>
      <c r="AB40" s="13">
        <f t="shared" si="122"/>
        <v>8747070.9673030376</v>
      </c>
      <c r="AC40" s="13">
        <f t="shared" si="122"/>
        <v>8982546.7709857896</v>
      </c>
      <c r="AD40" s="13">
        <f t="shared" si="122"/>
        <v>9228898.8648528531</v>
      </c>
      <c r="AE40" s="13">
        <f t="shared" si="122"/>
        <v>9487165.0008597057</v>
      </c>
      <c r="AF40" s="13">
        <f t="shared" si="122"/>
        <v>9751254.5938989501</v>
      </c>
      <c r="AG40" s="13">
        <f t="shared" si="122"/>
        <v>10019292.884569246</v>
      </c>
      <c r="AH40" s="13">
        <f t="shared" si="122"/>
        <v>10294133.288200004</v>
      </c>
      <c r="AI40" s="13">
        <f t="shared" si="122"/>
        <v>10574664.751328059</v>
      </c>
      <c r="AJ40" s="13">
        <f t="shared" si="122"/>
        <v>10864466.651786454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</row>
    <row r="41" spans="1:521" x14ac:dyDescent="0.2">
      <c r="K41" s="85"/>
      <c r="R41" s="86"/>
    </row>
    <row r="42" spans="1:521" x14ac:dyDescent="0.2">
      <c r="A42" s="46" t="s">
        <v>25</v>
      </c>
      <c r="B42" s="46"/>
      <c r="C42" s="47">
        <f t="shared" ref="C42:J42" si="123">C23</f>
        <v>178286</v>
      </c>
      <c r="D42" s="47">
        <f t="shared" si="123"/>
        <v>178286</v>
      </c>
      <c r="E42" s="47">
        <f t="shared" si="123"/>
        <v>178286</v>
      </c>
      <c r="F42" s="47">
        <f t="shared" si="123"/>
        <v>178286</v>
      </c>
      <c r="G42" s="47">
        <f t="shared" si="123"/>
        <v>178286</v>
      </c>
      <c r="H42" s="47">
        <f t="shared" si="123"/>
        <v>178286</v>
      </c>
      <c r="I42" s="47">
        <f t="shared" si="123"/>
        <v>178286</v>
      </c>
      <c r="J42" s="67">
        <f t="shared" si="123"/>
        <v>178286</v>
      </c>
      <c r="K42" s="100">
        <f>K25</f>
        <v>481550</v>
      </c>
      <c r="L42" s="100">
        <f t="shared" ref="L42:AJ42" si="124">L25</f>
        <v>481550</v>
      </c>
      <c r="M42" s="100">
        <f t="shared" si="124"/>
        <v>481550</v>
      </c>
      <c r="N42" s="100">
        <f t="shared" si="124"/>
        <v>481550</v>
      </c>
      <c r="O42" s="100">
        <f t="shared" si="124"/>
        <v>481550</v>
      </c>
      <c r="P42" s="100">
        <f t="shared" si="124"/>
        <v>481550</v>
      </c>
      <c r="Q42" s="100">
        <f t="shared" si="124"/>
        <v>481550</v>
      </c>
      <c r="R42" s="100">
        <f t="shared" si="124"/>
        <v>345174.03747166082</v>
      </c>
      <c r="S42" s="100">
        <f t="shared" si="124"/>
        <v>443152.91968952882</v>
      </c>
      <c r="T42" s="100">
        <f t="shared" si="124"/>
        <v>451277.43938301626</v>
      </c>
      <c r="U42" s="100">
        <f t="shared" si="124"/>
        <v>460469.42739863525</v>
      </c>
      <c r="V42" s="100">
        <f t="shared" si="124"/>
        <v>469850.48772720824</v>
      </c>
      <c r="W42" s="100">
        <f t="shared" si="124"/>
        <v>479418.06258725043</v>
      </c>
      <c r="X42" s="100">
        <f t="shared" si="124"/>
        <v>489751.0180093277</v>
      </c>
      <c r="Y42" s="100">
        <f t="shared" si="124"/>
        <v>501298.60436077748</v>
      </c>
      <c r="Z42" s="100">
        <f t="shared" si="124"/>
        <v>513080.53253223107</v>
      </c>
      <c r="AA42" s="100">
        <f t="shared" si="124"/>
        <v>524855.6970074937</v>
      </c>
      <c r="AB42" s="100">
        <f t="shared" si="124"/>
        <v>538137.21362806193</v>
      </c>
      <c r="AC42" s="100">
        <f t="shared" si="124"/>
        <v>551305.73915897741</v>
      </c>
      <c r="AD42" s="100">
        <f t="shared" si="124"/>
        <v>565352.03680746816</v>
      </c>
      <c r="AE42" s="100">
        <f t="shared" si="124"/>
        <v>579023.79020462709</v>
      </c>
      <c r="AF42" s="100">
        <f t="shared" si="124"/>
        <v>592304.66792354279</v>
      </c>
      <c r="AG42" s="100">
        <f t="shared" si="124"/>
        <v>606850.695294976</v>
      </c>
      <c r="AH42" s="100">
        <f t="shared" si="124"/>
        <v>618878.89033005352</v>
      </c>
      <c r="AI42" s="100">
        <f t="shared" si="124"/>
        <v>632477.28738271887</v>
      </c>
      <c r="AJ42" s="100">
        <f t="shared" si="124"/>
        <v>642947.67587577424</v>
      </c>
    </row>
    <row r="43" spans="1:521" x14ac:dyDescent="0.2">
      <c r="A43" s="46" t="s">
        <v>27</v>
      </c>
      <c r="B43" s="46"/>
      <c r="C43" s="47">
        <v>45000</v>
      </c>
      <c r="D43" s="47">
        <f>C43</f>
        <v>45000</v>
      </c>
      <c r="E43" s="47">
        <f t="shared" ref="E43:I43" si="125">D43</f>
        <v>45000</v>
      </c>
      <c r="F43" s="47">
        <f t="shared" si="125"/>
        <v>45000</v>
      </c>
      <c r="G43" s="47">
        <f t="shared" si="125"/>
        <v>45000</v>
      </c>
      <c r="H43" s="47">
        <f t="shared" si="125"/>
        <v>45000</v>
      </c>
      <c r="I43" s="47">
        <f t="shared" si="125"/>
        <v>45000</v>
      </c>
      <c r="J43" s="67">
        <v>78000</v>
      </c>
      <c r="K43" s="67">
        <v>78000</v>
      </c>
      <c r="L43" s="67">
        <v>78000</v>
      </c>
      <c r="M43" s="67">
        <v>78000</v>
      </c>
      <c r="N43" s="67">
        <v>78000</v>
      </c>
      <c r="O43" s="67">
        <v>78000</v>
      </c>
      <c r="P43" s="67">
        <v>78000</v>
      </c>
      <c r="Q43" s="67">
        <v>78000</v>
      </c>
      <c r="R43" s="67">
        <v>78000</v>
      </c>
      <c r="S43" s="67">
        <v>78000</v>
      </c>
      <c r="T43" s="67">
        <v>78000</v>
      </c>
      <c r="U43" s="67">
        <v>78000</v>
      </c>
      <c r="V43" s="67">
        <v>78000</v>
      </c>
      <c r="W43" s="67">
        <v>78000</v>
      </c>
      <c r="X43" s="67">
        <v>78000</v>
      </c>
      <c r="Y43" s="67">
        <v>78000</v>
      </c>
      <c r="Z43" s="67">
        <v>78000</v>
      </c>
      <c r="AA43" s="67">
        <v>78000</v>
      </c>
      <c r="AB43" s="67">
        <v>78000</v>
      </c>
      <c r="AC43" s="67">
        <v>78000</v>
      </c>
      <c r="AD43" s="67">
        <v>78000</v>
      </c>
      <c r="AE43" s="67">
        <v>78000</v>
      </c>
      <c r="AF43" s="67">
        <v>78000</v>
      </c>
      <c r="AG43" s="67">
        <v>78000</v>
      </c>
      <c r="AH43" s="67">
        <v>78000</v>
      </c>
      <c r="AI43" s="67">
        <v>78000</v>
      </c>
      <c r="AJ43" s="67">
        <v>78000</v>
      </c>
    </row>
    <row r="44" spans="1:521" x14ac:dyDescent="0.2">
      <c r="A44" s="46" t="s">
        <v>26</v>
      </c>
      <c r="B44" s="46"/>
      <c r="C44" s="47">
        <f>C42-C43</f>
        <v>133286</v>
      </c>
      <c r="D44" s="47">
        <f t="shared" ref="D44:AJ44" si="126">D42-D43</f>
        <v>133286</v>
      </c>
      <c r="E44" s="47">
        <f t="shared" si="126"/>
        <v>133286</v>
      </c>
      <c r="F44" s="47">
        <f t="shared" si="126"/>
        <v>133286</v>
      </c>
      <c r="G44" s="47">
        <f t="shared" si="126"/>
        <v>133286</v>
      </c>
      <c r="H44" s="47">
        <f t="shared" si="126"/>
        <v>133286</v>
      </c>
      <c r="I44" s="47">
        <f t="shared" si="126"/>
        <v>133286</v>
      </c>
      <c r="J44" s="67">
        <f t="shared" si="126"/>
        <v>100286</v>
      </c>
      <c r="K44" s="100">
        <f t="shared" si="126"/>
        <v>403550</v>
      </c>
      <c r="L44" s="47">
        <f t="shared" si="126"/>
        <v>403550</v>
      </c>
      <c r="M44" s="47">
        <f t="shared" si="126"/>
        <v>403550</v>
      </c>
      <c r="N44" s="47">
        <f t="shared" si="126"/>
        <v>403550</v>
      </c>
      <c r="O44" s="47">
        <f t="shared" si="126"/>
        <v>403550</v>
      </c>
      <c r="P44" s="47">
        <f t="shared" si="126"/>
        <v>403550</v>
      </c>
      <c r="Q44" s="47">
        <f t="shared" si="126"/>
        <v>403550</v>
      </c>
      <c r="R44" s="101">
        <f t="shared" si="126"/>
        <v>267174.03747166082</v>
      </c>
      <c r="S44" s="75">
        <f t="shared" si="126"/>
        <v>365152.91968952882</v>
      </c>
      <c r="T44" s="47">
        <f t="shared" si="126"/>
        <v>373277.43938301626</v>
      </c>
      <c r="U44" s="47">
        <f t="shared" si="126"/>
        <v>382469.42739863525</v>
      </c>
      <c r="V44" s="47">
        <f t="shared" si="126"/>
        <v>391850.48772720824</v>
      </c>
      <c r="W44" s="47">
        <f t="shared" si="126"/>
        <v>401418.06258725043</v>
      </c>
      <c r="X44" s="47">
        <f t="shared" si="126"/>
        <v>411751.0180093277</v>
      </c>
      <c r="Y44" s="47">
        <f t="shared" si="126"/>
        <v>423298.60436077748</v>
      </c>
      <c r="Z44" s="47">
        <f t="shared" si="126"/>
        <v>435080.53253223107</v>
      </c>
      <c r="AA44" s="47">
        <f t="shared" si="126"/>
        <v>446855.6970074937</v>
      </c>
      <c r="AB44" s="47">
        <f t="shared" si="126"/>
        <v>460137.21362806193</v>
      </c>
      <c r="AC44" s="47">
        <f t="shared" si="126"/>
        <v>473305.73915897741</v>
      </c>
      <c r="AD44" s="47">
        <f t="shared" si="126"/>
        <v>487352.03680746816</v>
      </c>
      <c r="AE44" s="47">
        <f t="shared" si="126"/>
        <v>501023.79020462709</v>
      </c>
      <c r="AF44" s="47">
        <f t="shared" si="126"/>
        <v>514304.66792354279</v>
      </c>
      <c r="AG44" s="47">
        <f t="shared" si="126"/>
        <v>528850.695294976</v>
      </c>
      <c r="AH44" s="47">
        <f t="shared" si="126"/>
        <v>540878.89033005352</v>
      </c>
      <c r="AI44" s="47">
        <f t="shared" si="126"/>
        <v>554477.28738271887</v>
      </c>
      <c r="AJ44" s="47">
        <f t="shared" si="126"/>
        <v>564947.67587577424</v>
      </c>
    </row>
    <row r="45" spans="1:521" x14ac:dyDescent="0.2">
      <c r="A45" s="46" t="s">
        <v>28</v>
      </c>
      <c r="B45" s="46"/>
      <c r="C45" s="47">
        <f>VLOOKUP(C44,'Tax Table'!$B$5:$E$11,4,TRUE)+(C44-VLOOKUP(C44,'Tax Table'!$B$5:$E$11,1,TRUE))*VLOOKUP(C44,'Tax Table'!$B$5:$E$11,3,TRUE)</f>
        <v>18746.7</v>
      </c>
      <c r="D45" s="47">
        <f>VLOOKUP(D44,'Tax Table'!$B$5:$E$11,4,TRUE)+(D44-VLOOKUP(D44,'Tax Table'!$B$5:$E$11,1,TRUE))*VLOOKUP(D44,'Tax Table'!$B$5:$E$11,3,TRUE)</f>
        <v>18746.7</v>
      </c>
      <c r="E45" s="47">
        <f>VLOOKUP(E44,'Tax Table'!$B$5:$E$11,4,TRUE)+(E44-VLOOKUP(E44,'Tax Table'!$B$5:$E$11,1,TRUE))*VLOOKUP(E44,'Tax Table'!$B$5:$E$11,3,TRUE)</f>
        <v>18746.7</v>
      </c>
      <c r="F45" s="47">
        <f>VLOOKUP(F44,'Tax Table'!$B$5:$E$11,4,TRUE)+(F44-VLOOKUP(F44,'Tax Table'!$B$5:$E$11,1,TRUE))*VLOOKUP(F44,'Tax Table'!$B$5:$E$11,3,TRUE)</f>
        <v>18746.7</v>
      </c>
      <c r="G45" s="47">
        <f>VLOOKUP(G44,'Tax Table'!$B$5:$E$11,4,TRUE)+(G44-VLOOKUP(G44,'Tax Table'!$B$5:$E$11,1,TRUE))*VLOOKUP(G44,'Tax Table'!$B$5:$E$11,3,TRUE)</f>
        <v>18746.7</v>
      </c>
      <c r="H45" s="47">
        <f>VLOOKUP(H44,'Tax Table'!$B$5:$E$11,4,TRUE)+(H44-VLOOKUP(H44,'Tax Table'!$B$5:$E$11,1,TRUE))*VLOOKUP(H44,'Tax Table'!$B$5:$E$11,3,TRUE)</f>
        <v>18746.7</v>
      </c>
      <c r="I45" s="47">
        <f>VLOOKUP(I44,'Tax Table'!$B$5:$E$11,4,TRUE)+(I44-VLOOKUP(I44,'Tax Table'!$B$5:$E$11,1,TRUE))*VLOOKUP(I44,'Tax Table'!$B$5:$E$11,3,TRUE)</f>
        <v>18746.7</v>
      </c>
      <c r="J45" s="67">
        <f>VLOOKUP(J44,'Tax Table'!$B$5:$E$11,4,TRUE)+(J44-VLOOKUP(J44,'Tax Table'!$B$5:$E$11,1,TRUE))*VLOOKUP(J44,'Tax Table'!$B$5:$E$11,3,TRUE)</f>
        <v>11538.199999999999</v>
      </c>
      <c r="K45" s="100">
        <f>VLOOKUP(K44,'Tax Table'!$B$5:$E$11,4,TRUE)+(K44-VLOOKUP(K44,'Tax Table'!$B$5:$E$11,1,TRUE))*VLOOKUP(K44,'Tax Table'!$B$5:$E$11,3,TRUE)</f>
        <v>82047.759999999995</v>
      </c>
      <c r="L45" s="47">
        <f>VLOOKUP(L44,'Tax Table'!$B$5:$E$11,4,TRUE)+(L44-VLOOKUP(L44,'Tax Table'!$B$5:$E$11,1,TRUE))*VLOOKUP(L44,'Tax Table'!$B$5:$E$11,3,TRUE)</f>
        <v>82047.759999999995</v>
      </c>
      <c r="M45" s="47">
        <f>VLOOKUP(M44,'Tax Table'!$B$5:$E$11,4,TRUE)+(M44-VLOOKUP(M44,'Tax Table'!$B$5:$E$11,1,TRUE))*VLOOKUP(M44,'Tax Table'!$B$5:$E$11,3,TRUE)</f>
        <v>82047.759999999995</v>
      </c>
      <c r="N45" s="47">
        <f>VLOOKUP(N44,'Tax Table'!$B$5:$E$11,4,TRUE)+(N44-VLOOKUP(N44,'Tax Table'!$B$5:$E$11,1,TRUE))*VLOOKUP(N44,'Tax Table'!$B$5:$E$11,3,TRUE)</f>
        <v>82047.759999999995</v>
      </c>
      <c r="O45" s="47">
        <f>VLOOKUP(O44,'Tax Table'!$B$5:$E$11,4,TRUE)+(O44-VLOOKUP(O44,'Tax Table'!$B$5:$E$11,1,TRUE))*VLOOKUP(O44,'Tax Table'!$B$5:$E$11,3,TRUE)</f>
        <v>82047.759999999995</v>
      </c>
      <c r="P45" s="47">
        <f>VLOOKUP(P44,'Tax Table'!$B$5:$E$11,4,TRUE)+(P44-VLOOKUP(P44,'Tax Table'!$B$5:$E$11,1,TRUE))*VLOOKUP(P44,'Tax Table'!$B$5:$E$11,3,TRUE)</f>
        <v>82047.759999999995</v>
      </c>
      <c r="Q45" s="47">
        <f>VLOOKUP(Q44,'Tax Table'!$B$5:$E$11,4,TRUE)+(Q44-VLOOKUP(Q44,'Tax Table'!$B$5:$E$11,1,TRUE))*VLOOKUP(Q44,'Tax Table'!$B$5:$E$11,3,TRUE)</f>
        <v>82047.759999999995</v>
      </c>
      <c r="R45" s="101">
        <f>VLOOKUP(R44,'Tax Table'!$B$5:$E$11,4,TRUE)+(R44-VLOOKUP(R44,'Tax Table'!$B$5:$E$11,1,TRUE))*VLOOKUP(R44,'Tax Table'!$B$5:$E$11,3,TRUE)</f>
        <v>49317.528993198597</v>
      </c>
      <c r="S45" s="75">
        <f>VLOOKUP(S44,'Tax Table'!$B$5:$E$11,4,TRUE)+(S44-VLOOKUP(S44,'Tax Table'!$B$5:$E$11,1,TRUE))*VLOOKUP(S44,'Tax Table'!$B$5:$E$11,3,TRUE)</f>
        <v>72832.460725486919</v>
      </c>
      <c r="T45" s="47">
        <f>VLOOKUP(T44,'Tax Table'!$B$5:$E$11,4,TRUE)+(T44-VLOOKUP(T44,'Tax Table'!$B$5:$E$11,1,TRUE))*VLOOKUP(T44,'Tax Table'!$B$5:$E$11,3,TRUE)</f>
        <v>74782.345451923902</v>
      </c>
      <c r="U45" s="47">
        <f>VLOOKUP(U44,'Tax Table'!$B$5:$E$11,4,TRUE)+(U44-VLOOKUP(U44,'Tax Table'!$B$5:$E$11,1,TRUE))*VLOOKUP(U44,'Tax Table'!$B$5:$E$11,3,TRUE)</f>
        <v>76988.422575672448</v>
      </c>
      <c r="V45" s="47">
        <f>VLOOKUP(V44,'Tax Table'!$B$5:$E$11,4,TRUE)+(V44-VLOOKUP(V44,'Tax Table'!$B$5:$E$11,1,TRUE))*VLOOKUP(V44,'Tax Table'!$B$5:$E$11,3,TRUE)</f>
        <v>79239.877054529978</v>
      </c>
      <c r="W45" s="47">
        <f>VLOOKUP(W44,'Tax Table'!$B$5:$E$11,4,TRUE)+(W44-VLOOKUP(W44,'Tax Table'!$B$5:$E$11,1,TRUE))*VLOOKUP(W44,'Tax Table'!$B$5:$E$11,3,TRUE)</f>
        <v>81536.095020940105</v>
      </c>
      <c r="X45" s="47">
        <f>VLOOKUP(X44,'Tax Table'!$B$5:$E$11,4,TRUE)+(X44-VLOOKUP(X44,'Tax Table'!$B$5:$E$11,1,TRUE))*VLOOKUP(X44,'Tax Table'!$B$5:$E$11,3,TRUE)</f>
        <v>84672.00576298486</v>
      </c>
      <c r="Y45" s="47">
        <f>VLOOKUP(Y44,'Tax Table'!$B$5:$E$11,4,TRUE)+(Y44-VLOOKUP(Y44,'Tax Table'!$B$5:$E$11,1,TRUE))*VLOOKUP(Y44,'Tax Table'!$B$5:$E$11,3,TRUE)</f>
        <v>88367.233395448799</v>
      </c>
      <c r="Z45" s="47">
        <f>VLOOKUP(Z44,'Tax Table'!$B$5:$E$11,4,TRUE)+(Z44-VLOOKUP(Z44,'Tax Table'!$B$5:$E$11,1,TRUE))*VLOOKUP(Z44,'Tax Table'!$B$5:$E$11,3,TRUE)</f>
        <v>92137.450410313948</v>
      </c>
      <c r="AA45" s="47">
        <f>VLOOKUP(AA44,'Tax Table'!$B$5:$E$11,4,TRUE)+(AA44-VLOOKUP(AA44,'Tax Table'!$B$5:$E$11,1,TRUE))*VLOOKUP(AA44,'Tax Table'!$B$5:$E$11,3,TRUE)</f>
        <v>95905.503042397992</v>
      </c>
      <c r="AB45" s="47">
        <f>VLOOKUP(AB44,'Tax Table'!$B$5:$E$11,4,TRUE)+(AB44-VLOOKUP(AB44,'Tax Table'!$B$5:$E$11,1,TRUE))*VLOOKUP(AB44,'Tax Table'!$B$5:$E$11,3,TRUE)</f>
        <v>100155.58836097982</v>
      </c>
      <c r="AC45" s="47">
        <f>VLOOKUP(AC44,'Tax Table'!$B$5:$E$11,4,TRUE)+(AC44-VLOOKUP(AC44,'Tax Table'!$B$5:$E$11,1,TRUE))*VLOOKUP(AC44,'Tax Table'!$B$5:$E$11,3,TRUE)</f>
        <v>104369.51653087277</v>
      </c>
      <c r="AD45" s="47">
        <f>VLOOKUP(AD44,'Tax Table'!$B$5:$E$11,4,TRUE)+(AD44-VLOOKUP(AD44,'Tax Table'!$B$5:$E$11,1,TRUE))*VLOOKUP(AD44,'Tax Table'!$B$5:$E$11,3,TRUE)</f>
        <v>108864.33177838981</v>
      </c>
      <c r="AE45" s="47">
        <f>VLOOKUP(AE44,'Tax Table'!$B$5:$E$11,4,TRUE)+(AE44-VLOOKUP(AE44,'Tax Table'!$B$5:$E$11,1,TRUE))*VLOOKUP(AE44,'Tax Table'!$B$5:$E$11,3,TRUE)</f>
        <v>113239.29286548067</v>
      </c>
      <c r="AF45" s="47">
        <f>VLOOKUP(AF44,'Tax Table'!$B$5:$E$11,4,TRUE)+(AF44-VLOOKUP(AF44,'Tax Table'!$B$5:$E$11,1,TRUE))*VLOOKUP(AF44,'Tax Table'!$B$5:$E$11,3,TRUE)</f>
        <v>117544.78377323998</v>
      </c>
      <c r="AG45" s="47">
        <f>VLOOKUP(AG44,'Tax Table'!$B$5:$E$11,4,TRUE)+(AG44-VLOOKUP(AG44,'Tax Table'!$B$5:$E$11,1,TRUE))*VLOOKUP(AG44,'Tax Table'!$B$5:$E$11,3,TRUE)</f>
        <v>122635.8933532416</v>
      </c>
      <c r="AH45" s="47">
        <f>VLOOKUP(AH44,'Tax Table'!$B$5:$E$11,4,TRUE)+(AH44-VLOOKUP(AH44,'Tax Table'!$B$5:$E$11,1,TRUE))*VLOOKUP(AH44,'Tax Table'!$B$5:$E$11,3,TRUE)</f>
        <v>126845.76161551873</v>
      </c>
      <c r="AI45" s="47">
        <f>VLOOKUP(AI44,'Tax Table'!$B$5:$E$11,4,TRUE)+(AI44-VLOOKUP(AI44,'Tax Table'!$B$5:$E$11,1,TRUE))*VLOOKUP(AI44,'Tax Table'!$B$5:$E$11,3,TRUE)</f>
        <v>131605.20058395161</v>
      </c>
      <c r="AJ45" s="47">
        <f>VLOOKUP(AJ44,'Tax Table'!$B$5:$E$11,4,TRUE)+(AJ44-VLOOKUP(AJ44,'Tax Table'!$B$5:$E$11,1,TRUE))*VLOOKUP(AJ44,'Tax Table'!$B$5:$E$11,3,TRUE)</f>
        <v>135269.83655652098</v>
      </c>
    </row>
    <row r="46" spans="1:521" x14ac:dyDescent="0.2">
      <c r="A46" s="46" t="s">
        <v>24</v>
      </c>
      <c r="B46" s="46"/>
      <c r="C46" s="48">
        <f>VLOOKUP(C44,'Tax Table'!$B$5:$E$11,3,TRUE)</f>
        <v>0.22</v>
      </c>
      <c r="D46" s="48">
        <f>VLOOKUP(D44,'Tax Table'!$B$5:$E$11,3,TRUE)</f>
        <v>0.22</v>
      </c>
      <c r="E46" s="48">
        <f>VLOOKUP(E44,'Tax Table'!$B$5:$E$11,3,TRUE)</f>
        <v>0.22</v>
      </c>
      <c r="F46" s="48">
        <f>VLOOKUP(F44,'Tax Table'!$B$5:$E$11,3,TRUE)</f>
        <v>0.22</v>
      </c>
      <c r="G46" s="48">
        <f>VLOOKUP(G44,'Tax Table'!$B$5:$E$11,3,TRUE)</f>
        <v>0.22</v>
      </c>
      <c r="H46" s="48">
        <f>VLOOKUP(H44,'Tax Table'!$B$5:$E$11,3,TRUE)</f>
        <v>0.22</v>
      </c>
      <c r="I46" s="48">
        <f>VLOOKUP(I44,'Tax Table'!$B$5:$E$11,3,TRUE)</f>
        <v>0.22</v>
      </c>
      <c r="J46" s="68">
        <f>VLOOKUP(J44,'Tax Table'!$B$5:$E$11,3,TRUE)</f>
        <v>0.12</v>
      </c>
      <c r="K46" s="102">
        <f>VLOOKUP(K44,'Tax Table'!$B$5:$E$11,3,TRUE)</f>
        <v>0.24</v>
      </c>
      <c r="L46" s="48">
        <f>VLOOKUP(L44,'Tax Table'!$B$5:$E$11,3,TRUE)</f>
        <v>0.24</v>
      </c>
      <c r="M46" s="48">
        <f>VLOOKUP(M44,'Tax Table'!$B$5:$E$11,3,TRUE)</f>
        <v>0.24</v>
      </c>
      <c r="N46" s="48">
        <f>VLOOKUP(N44,'Tax Table'!$B$5:$E$11,3,TRUE)</f>
        <v>0.24</v>
      </c>
      <c r="O46" s="48">
        <f>VLOOKUP(O44,'Tax Table'!$B$5:$E$11,3,TRUE)</f>
        <v>0.24</v>
      </c>
      <c r="P46" s="48">
        <f>VLOOKUP(P44,'Tax Table'!$B$5:$E$11,3,TRUE)</f>
        <v>0.24</v>
      </c>
      <c r="Q46" s="48">
        <f>VLOOKUP(Q44,'Tax Table'!$B$5:$E$11,3,TRUE)</f>
        <v>0.24</v>
      </c>
      <c r="R46" s="103">
        <f>VLOOKUP(R44,'Tax Table'!$B$5:$E$11,3,TRUE)</f>
        <v>0.24</v>
      </c>
      <c r="S46" s="76">
        <f>VLOOKUP(S44,'Tax Table'!$B$5:$E$11,3,TRUE)</f>
        <v>0.24</v>
      </c>
      <c r="T46" s="48">
        <f>VLOOKUP(T44,'Tax Table'!$B$5:$E$11,3,TRUE)</f>
        <v>0.24</v>
      </c>
      <c r="U46" s="48">
        <f>VLOOKUP(U44,'Tax Table'!$B$5:$E$11,3,TRUE)</f>
        <v>0.24</v>
      </c>
      <c r="V46" s="48">
        <f>VLOOKUP(V44,'Tax Table'!$B$5:$E$11,3,TRUE)</f>
        <v>0.24</v>
      </c>
      <c r="W46" s="48">
        <f>VLOOKUP(W44,'Tax Table'!$B$5:$E$11,3,TRUE)</f>
        <v>0.24</v>
      </c>
      <c r="X46" s="48">
        <f>VLOOKUP(X44,'Tax Table'!$B$5:$E$11,3,TRUE)</f>
        <v>0.32</v>
      </c>
      <c r="Y46" s="48">
        <f>VLOOKUP(Y44,'Tax Table'!$B$5:$E$11,3,TRUE)</f>
        <v>0.32</v>
      </c>
      <c r="Z46" s="48">
        <f>VLOOKUP(Z44,'Tax Table'!$B$5:$E$11,3,TRUE)</f>
        <v>0.32</v>
      </c>
      <c r="AA46" s="48">
        <f>VLOOKUP(AA44,'Tax Table'!$B$5:$E$11,3,TRUE)</f>
        <v>0.32</v>
      </c>
      <c r="AB46" s="48">
        <f>VLOOKUP(AB44,'Tax Table'!$B$5:$E$11,3,TRUE)</f>
        <v>0.32</v>
      </c>
      <c r="AC46" s="48">
        <f>VLOOKUP(AC44,'Tax Table'!$B$5:$E$11,3,TRUE)</f>
        <v>0.32</v>
      </c>
      <c r="AD46" s="48">
        <f>VLOOKUP(AD44,'Tax Table'!$B$5:$E$11,3,TRUE)</f>
        <v>0.32</v>
      </c>
      <c r="AE46" s="48">
        <f>VLOOKUP(AE44,'Tax Table'!$B$5:$E$11,3,TRUE)</f>
        <v>0.32</v>
      </c>
      <c r="AF46" s="48">
        <f>VLOOKUP(AF44,'Tax Table'!$B$5:$E$11,3,TRUE)</f>
        <v>0.35</v>
      </c>
      <c r="AG46" s="48">
        <f>VLOOKUP(AG44,'Tax Table'!$B$5:$E$11,3,TRUE)</f>
        <v>0.35</v>
      </c>
      <c r="AH46" s="48">
        <f>VLOOKUP(AH44,'Tax Table'!$B$5:$E$11,3,TRUE)</f>
        <v>0.35</v>
      </c>
      <c r="AI46" s="48">
        <f>VLOOKUP(AI44,'Tax Table'!$B$5:$E$11,3,TRUE)</f>
        <v>0.35</v>
      </c>
      <c r="AJ46" s="48">
        <f>VLOOKUP(AJ44,'Tax Table'!$B$5:$E$11,3,TRUE)</f>
        <v>0.35</v>
      </c>
    </row>
    <row r="47" spans="1:521" x14ac:dyDescent="0.2">
      <c r="A47" s="46" t="s">
        <v>30</v>
      </c>
      <c r="B47" s="46"/>
      <c r="C47" s="48">
        <f>C45/C44</f>
        <v>0.14065018081418904</v>
      </c>
      <c r="D47" s="48">
        <f t="shared" ref="D47:AJ47" si="127">D45/D44</f>
        <v>0.14065018081418904</v>
      </c>
      <c r="E47" s="48">
        <f t="shared" si="127"/>
        <v>0.14065018081418904</v>
      </c>
      <c r="F47" s="48">
        <f t="shared" si="127"/>
        <v>0.14065018081418904</v>
      </c>
      <c r="G47" s="48">
        <f t="shared" si="127"/>
        <v>0.14065018081418904</v>
      </c>
      <c r="H47" s="48">
        <f t="shared" si="127"/>
        <v>0.14065018081418904</v>
      </c>
      <c r="I47" s="48">
        <f t="shared" si="127"/>
        <v>0.14065018081418904</v>
      </c>
      <c r="J47" s="68">
        <f t="shared" si="127"/>
        <v>0.11505294856709809</v>
      </c>
      <c r="K47" s="102">
        <f t="shared" si="127"/>
        <v>0.20331497955643663</v>
      </c>
      <c r="L47" s="48">
        <f t="shared" si="127"/>
        <v>0.20331497955643663</v>
      </c>
      <c r="M47" s="48">
        <f t="shared" si="127"/>
        <v>0.20331497955643663</v>
      </c>
      <c r="N47" s="48">
        <f t="shared" si="127"/>
        <v>0.20331497955643663</v>
      </c>
      <c r="O47" s="48">
        <f t="shared" si="127"/>
        <v>0.20331497955643663</v>
      </c>
      <c r="P47" s="48">
        <f t="shared" si="127"/>
        <v>0.20331497955643663</v>
      </c>
      <c r="Q47" s="48">
        <f t="shared" si="127"/>
        <v>0.20331497955643663</v>
      </c>
      <c r="R47" s="103">
        <f t="shared" si="127"/>
        <v>0.18458952621258984</v>
      </c>
      <c r="S47" s="76">
        <f t="shared" si="127"/>
        <v>0.19945742399489153</v>
      </c>
      <c r="T47" s="48">
        <f t="shared" si="127"/>
        <v>0.20033984795740759</v>
      </c>
      <c r="U47" s="48">
        <f t="shared" si="127"/>
        <v>0.2012930107886243</v>
      </c>
      <c r="V47" s="48">
        <f t="shared" si="127"/>
        <v>0.20221967188080633</v>
      </c>
      <c r="W47" s="48">
        <f t="shared" si="127"/>
        <v>0.20312014485700375</v>
      </c>
      <c r="X47" s="48">
        <f t="shared" si="127"/>
        <v>0.20563884983780834</v>
      </c>
      <c r="Y47" s="48">
        <f t="shared" si="127"/>
        <v>0.20875862212891538</v>
      </c>
      <c r="Z47" s="48">
        <f t="shared" si="127"/>
        <v>0.21177102518023683</v>
      </c>
      <c r="AA47" s="48">
        <f t="shared" si="127"/>
        <v>0.21462298385062253</v>
      </c>
      <c r="AB47" s="48">
        <f t="shared" si="127"/>
        <v>0.21766461262995687</v>
      </c>
      <c r="AC47" s="48">
        <f t="shared" si="127"/>
        <v>0.22051183388633361</v>
      </c>
      <c r="AD47" s="48">
        <f t="shared" si="127"/>
        <v>0.22337924858493496</v>
      </c>
      <c r="AE47" s="48">
        <f t="shared" si="127"/>
        <v>0.22601580020627707</v>
      </c>
      <c r="AF47" s="48">
        <f t="shared" si="127"/>
        <v>0.22855087869961613</v>
      </c>
      <c r="AG47" s="48">
        <f t="shared" si="127"/>
        <v>0.2318913342542534</v>
      </c>
      <c r="AH47" s="48">
        <f t="shared" si="127"/>
        <v>0.23451786320984958</v>
      </c>
      <c r="AI47" s="48">
        <f t="shared" si="127"/>
        <v>0.237350029620083</v>
      </c>
      <c r="AJ47" s="48">
        <f t="shared" si="127"/>
        <v>0.2394378140361893</v>
      </c>
    </row>
    <row r="48" spans="1:521" x14ac:dyDescent="0.2">
      <c r="A48" s="46" t="s">
        <v>29</v>
      </c>
      <c r="B48" s="46"/>
      <c r="C48" s="49">
        <f>0.055*C44</f>
        <v>7330.7300000000005</v>
      </c>
      <c r="D48" s="49">
        <f t="shared" ref="D48:G48" si="128">0.055*D44</f>
        <v>7330.7300000000005</v>
      </c>
      <c r="E48" s="49">
        <f t="shared" si="128"/>
        <v>7330.7300000000005</v>
      </c>
      <c r="F48" s="49">
        <f t="shared" si="128"/>
        <v>7330.7300000000005</v>
      </c>
      <c r="G48" s="49">
        <f t="shared" si="128"/>
        <v>7330.7300000000005</v>
      </c>
      <c r="H48" s="49">
        <f>0.06*H44</f>
        <v>7997.16</v>
      </c>
      <c r="I48" s="49">
        <f t="shared" ref="I48:AJ48" si="129">0.06*I44</f>
        <v>7997.16</v>
      </c>
      <c r="J48" s="69">
        <f t="shared" si="129"/>
        <v>6017.16</v>
      </c>
      <c r="K48" s="104">
        <f t="shared" si="129"/>
        <v>24213</v>
      </c>
      <c r="L48" s="49">
        <f t="shared" si="129"/>
        <v>24213</v>
      </c>
      <c r="M48" s="49">
        <f t="shared" si="129"/>
        <v>24213</v>
      </c>
      <c r="N48" s="49">
        <f t="shared" si="129"/>
        <v>24213</v>
      </c>
      <c r="O48" s="49">
        <f t="shared" si="129"/>
        <v>24213</v>
      </c>
      <c r="P48" s="49">
        <f t="shared" si="129"/>
        <v>24213</v>
      </c>
      <c r="Q48" s="49">
        <f t="shared" si="129"/>
        <v>24213</v>
      </c>
      <c r="R48" s="105">
        <f t="shared" si="129"/>
        <v>16030.442248299649</v>
      </c>
      <c r="S48" s="77">
        <f t="shared" si="129"/>
        <v>21909.175181371727</v>
      </c>
      <c r="T48" s="49">
        <f t="shared" si="129"/>
        <v>22396.646362980973</v>
      </c>
      <c r="U48" s="49">
        <f t="shared" si="129"/>
        <v>22948.165643918113</v>
      </c>
      <c r="V48" s="49">
        <f t="shared" si="129"/>
        <v>23511.029263632492</v>
      </c>
      <c r="W48" s="49">
        <f t="shared" si="129"/>
        <v>24085.083755235024</v>
      </c>
      <c r="X48" s="49">
        <f t="shared" si="129"/>
        <v>24705.061080559663</v>
      </c>
      <c r="Y48" s="49">
        <f t="shared" si="129"/>
        <v>25397.916261646649</v>
      </c>
      <c r="Z48" s="49">
        <f t="shared" si="129"/>
        <v>26104.831951933862</v>
      </c>
      <c r="AA48" s="49">
        <f t="shared" si="129"/>
        <v>26811.341820449619</v>
      </c>
      <c r="AB48" s="49">
        <f t="shared" si="129"/>
        <v>27608.232817683715</v>
      </c>
      <c r="AC48" s="49">
        <f t="shared" si="129"/>
        <v>28398.344349538642</v>
      </c>
      <c r="AD48" s="49">
        <f t="shared" si="129"/>
        <v>29241.122208448087</v>
      </c>
      <c r="AE48" s="49">
        <f t="shared" si="129"/>
        <v>30061.427412277626</v>
      </c>
      <c r="AF48" s="49">
        <f t="shared" si="129"/>
        <v>30858.280075412567</v>
      </c>
      <c r="AG48" s="49">
        <f t="shared" si="129"/>
        <v>31731.041717698557</v>
      </c>
      <c r="AH48" s="49">
        <f t="shared" si="129"/>
        <v>32452.733419803211</v>
      </c>
      <c r="AI48" s="49">
        <f t="shared" si="129"/>
        <v>33268.63724296313</v>
      </c>
      <c r="AJ48" s="49">
        <f t="shared" si="129"/>
        <v>33896.860552546452</v>
      </c>
    </row>
    <row r="49" spans="1:36" ht="17" thickBot="1" x14ac:dyDescent="0.25">
      <c r="A49" s="46" t="s">
        <v>31</v>
      </c>
      <c r="B49" s="46"/>
      <c r="C49" s="48">
        <f>(C48+C45)/C44</f>
        <v>0.19565018081418903</v>
      </c>
      <c r="D49" s="48">
        <f t="shared" ref="D49:AJ49" si="130">(D48+D45)/D44</f>
        <v>0.19565018081418903</v>
      </c>
      <c r="E49" s="48">
        <f t="shared" si="130"/>
        <v>0.19565018081418903</v>
      </c>
      <c r="F49" s="48">
        <f t="shared" si="130"/>
        <v>0.19565018081418903</v>
      </c>
      <c r="G49" s="48">
        <f t="shared" si="130"/>
        <v>0.19565018081418903</v>
      </c>
      <c r="H49" s="48">
        <f t="shared" si="130"/>
        <v>0.20065018081418903</v>
      </c>
      <c r="I49" s="48">
        <f t="shared" si="130"/>
        <v>0.20065018081418903</v>
      </c>
      <c r="J49" s="68">
        <f t="shared" si="130"/>
        <v>0.1750529485670981</v>
      </c>
      <c r="K49" s="106">
        <f t="shared" si="130"/>
        <v>0.26331497955643662</v>
      </c>
      <c r="L49" s="107">
        <f t="shared" si="130"/>
        <v>0.26331497955643662</v>
      </c>
      <c r="M49" s="107">
        <f t="shared" si="130"/>
        <v>0.26331497955643662</v>
      </c>
      <c r="N49" s="107">
        <f t="shared" si="130"/>
        <v>0.26331497955643662</v>
      </c>
      <c r="O49" s="107">
        <f t="shared" si="130"/>
        <v>0.26331497955643662</v>
      </c>
      <c r="P49" s="107">
        <f t="shared" si="130"/>
        <v>0.26331497955643662</v>
      </c>
      <c r="Q49" s="107">
        <f t="shared" si="130"/>
        <v>0.26331497955643662</v>
      </c>
      <c r="R49" s="108">
        <f t="shared" si="130"/>
        <v>0.24458952621258986</v>
      </c>
      <c r="S49" s="76">
        <f t="shared" si="130"/>
        <v>0.25945742399489152</v>
      </c>
      <c r="T49" s="48">
        <f t="shared" si="130"/>
        <v>0.26033984795740756</v>
      </c>
      <c r="U49" s="48">
        <f t="shared" si="130"/>
        <v>0.26129301078862432</v>
      </c>
      <c r="V49" s="48">
        <f t="shared" si="130"/>
        <v>0.2622196718808063</v>
      </c>
      <c r="W49" s="48">
        <f t="shared" si="130"/>
        <v>0.26312014485700375</v>
      </c>
      <c r="X49" s="48">
        <f t="shared" si="130"/>
        <v>0.26563884983780833</v>
      </c>
      <c r="Y49" s="48">
        <f t="shared" si="130"/>
        <v>0.26875862212891538</v>
      </c>
      <c r="Z49" s="48">
        <f t="shared" si="130"/>
        <v>0.27177102518023682</v>
      </c>
      <c r="AA49" s="48">
        <f t="shared" si="130"/>
        <v>0.27462298385062256</v>
      </c>
      <c r="AB49" s="48">
        <f t="shared" si="130"/>
        <v>0.2776646126299569</v>
      </c>
      <c r="AC49" s="48">
        <f t="shared" si="130"/>
        <v>0.28051183388633361</v>
      </c>
      <c r="AD49" s="48">
        <f t="shared" si="130"/>
        <v>0.28337924858493502</v>
      </c>
      <c r="AE49" s="48">
        <f t="shared" si="130"/>
        <v>0.28601580020627709</v>
      </c>
      <c r="AF49" s="48">
        <f t="shared" si="130"/>
        <v>0.28855087869961615</v>
      </c>
      <c r="AG49" s="48">
        <f t="shared" si="130"/>
        <v>0.2918913342542534</v>
      </c>
      <c r="AH49" s="48">
        <f t="shared" si="130"/>
        <v>0.29451786320984963</v>
      </c>
      <c r="AI49" s="48">
        <f t="shared" si="130"/>
        <v>0.297350029620083</v>
      </c>
      <c r="AJ49" s="48">
        <f t="shared" si="130"/>
        <v>0.2994378140361893</v>
      </c>
    </row>
    <row r="52" spans="1:36" x14ac:dyDescent="0.2">
      <c r="M52">
        <f>1800000*0.06</f>
        <v>108000</v>
      </c>
    </row>
  </sheetData>
  <pageMargins left="0.7" right="0.7" top="0.75" bottom="0.75" header="0.3" footer="0.3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81F8-A456-AF48-8DED-02BA8DC3611D}">
  <dimension ref="A1:TB52"/>
  <sheetViews>
    <sheetView tabSelected="1" zoomScale="130" zoomScaleNormal="130" zoomScalePageLayoutView="125" workbookViewId="0">
      <pane xSplit="1" ySplit="6" topLeftCell="J28" activePane="bottomRight" state="frozen"/>
      <selection activeCell="I2" sqref="I2"/>
      <selection pane="topRight" activeCell="I2" sqref="I2"/>
      <selection pane="bottomLeft" activeCell="I2" sqref="I2"/>
      <selection pane="bottomRight" activeCell="J39" sqref="J39"/>
    </sheetView>
  </sheetViews>
  <sheetFormatPr baseColWidth="10" defaultRowHeight="16" x14ac:dyDescent="0.2"/>
  <cols>
    <col min="1" max="1" width="29.5" bestFit="1" customWidth="1"/>
    <col min="2" max="2" width="3.1640625" customWidth="1"/>
    <col min="3" max="7" width="13.83203125" hidden="1" customWidth="1"/>
    <col min="8" max="36" width="13.83203125" customWidth="1"/>
  </cols>
  <sheetData>
    <row r="1" spans="1:522" x14ac:dyDescent="0.2">
      <c r="D1" s="3"/>
    </row>
    <row r="3" spans="1:522" s="1" customFormat="1" x14ac:dyDescent="0.2">
      <c r="C3" s="1">
        <v>2019</v>
      </c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  <c r="AI3" s="1">
        <v>2051</v>
      </c>
      <c r="AJ3" s="1">
        <v>2052</v>
      </c>
    </row>
    <row r="4" spans="1:522" x14ac:dyDescent="0.2">
      <c r="A4" t="s">
        <v>1</v>
      </c>
      <c r="C4">
        <v>57</v>
      </c>
      <c r="D4">
        <v>58</v>
      </c>
      <c r="E4">
        <v>59</v>
      </c>
      <c r="F4">
        <v>60</v>
      </c>
      <c r="G4">
        <v>61</v>
      </c>
      <c r="H4">
        <v>62</v>
      </c>
      <c r="I4">
        <v>63</v>
      </c>
      <c r="J4">
        <v>64</v>
      </c>
      <c r="K4">
        <v>65</v>
      </c>
      <c r="L4">
        <v>66</v>
      </c>
      <c r="M4">
        <v>67</v>
      </c>
      <c r="N4">
        <v>68</v>
      </c>
      <c r="O4">
        <v>69</v>
      </c>
      <c r="P4">
        <v>70</v>
      </c>
      <c r="Q4">
        <v>71</v>
      </c>
      <c r="R4">
        <v>72</v>
      </c>
      <c r="S4">
        <v>73</v>
      </c>
      <c r="T4">
        <v>74</v>
      </c>
      <c r="U4">
        <v>75</v>
      </c>
      <c r="V4">
        <v>76</v>
      </c>
      <c r="W4">
        <v>77</v>
      </c>
      <c r="X4">
        <v>78</v>
      </c>
      <c r="Y4">
        <v>79</v>
      </c>
      <c r="Z4">
        <v>80</v>
      </c>
      <c r="AA4">
        <v>81</v>
      </c>
      <c r="AB4">
        <v>82</v>
      </c>
      <c r="AC4">
        <v>83</v>
      </c>
      <c r="AD4">
        <v>84</v>
      </c>
      <c r="AE4">
        <v>85</v>
      </c>
      <c r="AF4">
        <v>86</v>
      </c>
      <c r="AG4">
        <v>87</v>
      </c>
      <c r="AH4">
        <v>88</v>
      </c>
      <c r="AI4">
        <v>89</v>
      </c>
      <c r="AJ4">
        <v>90</v>
      </c>
    </row>
    <row r="5" spans="1:522" hidden="1" x14ac:dyDescent="0.2"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</row>
    <row r="6" spans="1:522" ht="17" thickBot="1" x14ac:dyDescent="0.25">
      <c r="A6" t="s">
        <v>2</v>
      </c>
      <c r="C6">
        <v>67</v>
      </c>
      <c r="D6">
        <v>68</v>
      </c>
      <c r="E6">
        <v>69</v>
      </c>
      <c r="F6">
        <v>70</v>
      </c>
      <c r="G6">
        <v>71</v>
      </c>
      <c r="H6">
        <v>72</v>
      </c>
      <c r="I6">
        <v>73</v>
      </c>
      <c r="J6">
        <v>74</v>
      </c>
      <c r="K6">
        <v>75</v>
      </c>
      <c r="L6">
        <v>76</v>
      </c>
      <c r="M6">
        <v>77</v>
      </c>
      <c r="N6">
        <v>78</v>
      </c>
      <c r="O6">
        <v>79</v>
      </c>
      <c r="P6">
        <v>80</v>
      </c>
      <c r="Q6">
        <v>81</v>
      </c>
      <c r="R6">
        <v>82</v>
      </c>
      <c r="S6">
        <v>83</v>
      </c>
      <c r="T6">
        <v>84</v>
      </c>
      <c r="U6">
        <v>85</v>
      </c>
      <c r="V6">
        <v>86</v>
      </c>
      <c r="W6">
        <v>87</v>
      </c>
      <c r="X6">
        <v>88</v>
      </c>
      <c r="Y6">
        <v>89</v>
      </c>
      <c r="Z6">
        <v>90</v>
      </c>
      <c r="AA6">
        <v>91</v>
      </c>
      <c r="AB6">
        <v>92</v>
      </c>
      <c r="AC6">
        <v>93</v>
      </c>
      <c r="AD6">
        <v>94</v>
      </c>
      <c r="AE6">
        <v>95</v>
      </c>
      <c r="AF6">
        <v>96</v>
      </c>
      <c r="AG6">
        <v>97</v>
      </c>
      <c r="AH6">
        <v>98</v>
      </c>
      <c r="AI6">
        <v>99</v>
      </c>
      <c r="AJ6">
        <v>100</v>
      </c>
    </row>
    <row r="7" spans="1:522" ht="16" customHeight="1" thickBot="1" x14ac:dyDescent="0.25">
      <c r="I7" s="22" t="s">
        <v>17</v>
      </c>
      <c r="J7" s="23">
        <v>1.06</v>
      </c>
      <c r="L7" s="22" t="s">
        <v>43</v>
      </c>
      <c r="M7" s="23">
        <v>1.03</v>
      </c>
      <c r="O7" s="61" t="s">
        <v>45</v>
      </c>
      <c r="P7" s="61"/>
      <c r="Q7" s="62">
        <v>325000</v>
      </c>
      <c r="S7" s="61" t="s">
        <v>55</v>
      </c>
      <c r="T7" s="61">
        <v>1.04</v>
      </c>
    </row>
    <row r="8" spans="1:522" s="6" customFormat="1" ht="17" thickBot="1" x14ac:dyDescent="0.25">
      <c r="A8" s="18" t="s">
        <v>0</v>
      </c>
      <c r="B8" s="19"/>
      <c r="C8" s="19"/>
      <c r="D8" s="19"/>
      <c r="E8" s="19"/>
      <c r="F8" s="19"/>
      <c r="G8" s="19"/>
      <c r="H8" s="19"/>
      <c r="I8" s="19"/>
      <c r="J8" s="19"/>
      <c r="K8"/>
      <c r="L8"/>
      <c r="M8"/>
      <c r="N8"/>
      <c r="O8"/>
      <c r="P8"/>
      <c r="Q8"/>
      <c r="R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 s="15"/>
    </row>
    <row r="9" spans="1:522" s="4" customFormat="1" x14ac:dyDescent="0.2">
      <c r="A9" s="16" t="s">
        <v>3</v>
      </c>
      <c r="B9" s="16"/>
      <c r="C9" s="17">
        <v>134686</v>
      </c>
      <c r="D9" s="17">
        <v>134686</v>
      </c>
      <c r="E9" s="17">
        <v>134686</v>
      </c>
      <c r="F9" s="17">
        <v>134686</v>
      </c>
      <c r="G9" s="17">
        <v>134686</v>
      </c>
      <c r="H9" s="17">
        <v>134686</v>
      </c>
      <c r="I9" s="17">
        <v>134686</v>
      </c>
      <c r="J9" s="25">
        <v>134686</v>
      </c>
      <c r="K9" s="78">
        <v>134686</v>
      </c>
      <c r="L9" s="79">
        <v>134686</v>
      </c>
      <c r="M9" s="79">
        <v>134686</v>
      </c>
      <c r="N9" s="79">
        <v>134686</v>
      </c>
      <c r="O9" s="79">
        <v>134686</v>
      </c>
      <c r="P9" s="79">
        <v>134686</v>
      </c>
      <c r="Q9" s="79">
        <v>134686</v>
      </c>
      <c r="R9" s="80">
        <v>134686</v>
      </c>
      <c r="S9" s="70">
        <v>134686</v>
      </c>
      <c r="T9" s="17">
        <v>134686</v>
      </c>
      <c r="U9" s="17">
        <v>134686</v>
      </c>
      <c r="V9" s="17">
        <v>134686</v>
      </c>
      <c r="W9" s="17">
        <v>134686</v>
      </c>
      <c r="X9" s="17">
        <v>134686</v>
      </c>
      <c r="Y9" s="17">
        <v>134686</v>
      </c>
      <c r="Z9" s="17">
        <v>134686</v>
      </c>
      <c r="AA9" s="17">
        <v>134686</v>
      </c>
      <c r="AB9" s="17">
        <v>134686</v>
      </c>
      <c r="AC9" s="17">
        <v>134686</v>
      </c>
      <c r="AD9" s="17">
        <v>134686</v>
      </c>
      <c r="AE9" s="17">
        <v>134686</v>
      </c>
      <c r="AF9" s="17">
        <v>134686</v>
      </c>
      <c r="AG9" s="17">
        <v>134686</v>
      </c>
      <c r="AH9" s="17">
        <v>134686</v>
      </c>
      <c r="AI9" s="17">
        <v>134686</v>
      </c>
      <c r="AJ9" s="25">
        <v>134686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28"/>
    </row>
    <row r="10" spans="1:522" s="4" customFormat="1" x14ac:dyDescent="0.2">
      <c r="A10" s="4" t="s">
        <v>4</v>
      </c>
      <c r="C10" s="5">
        <v>22000</v>
      </c>
      <c r="D10" s="5">
        <v>22000</v>
      </c>
      <c r="E10" s="5">
        <v>22000</v>
      </c>
      <c r="F10" s="5">
        <v>22000</v>
      </c>
      <c r="G10" s="5">
        <v>22000</v>
      </c>
      <c r="H10" s="5">
        <v>22000</v>
      </c>
      <c r="I10" s="5">
        <v>22000</v>
      </c>
      <c r="J10" s="26">
        <v>22000</v>
      </c>
      <c r="K10" s="81">
        <v>22000</v>
      </c>
      <c r="L10" s="5">
        <v>22000</v>
      </c>
      <c r="M10" s="5">
        <v>22000</v>
      </c>
      <c r="N10" s="5">
        <v>22000</v>
      </c>
      <c r="O10" s="5">
        <v>22000</v>
      </c>
      <c r="P10" s="5">
        <v>22000</v>
      </c>
      <c r="Q10" s="5">
        <v>22000</v>
      </c>
      <c r="R10" s="82">
        <v>22000</v>
      </c>
      <c r="S10" s="71">
        <v>22000</v>
      </c>
      <c r="T10" s="5">
        <v>22000</v>
      </c>
      <c r="U10" s="5">
        <v>22000</v>
      </c>
      <c r="V10" s="5">
        <v>22000</v>
      </c>
      <c r="W10" s="5">
        <v>22000</v>
      </c>
      <c r="X10" s="5">
        <v>22000</v>
      </c>
      <c r="Y10" s="5">
        <v>22000</v>
      </c>
      <c r="Z10" s="5">
        <v>22000</v>
      </c>
      <c r="AA10" s="5">
        <v>22000</v>
      </c>
      <c r="AB10" s="5">
        <v>22000</v>
      </c>
      <c r="AC10" s="5">
        <v>22000</v>
      </c>
      <c r="AD10" s="5">
        <v>22000</v>
      </c>
      <c r="AE10" s="5">
        <v>22000</v>
      </c>
      <c r="AF10" s="5">
        <v>22000</v>
      </c>
      <c r="AG10" s="5">
        <v>22000</v>
      </c>
      <c r="AH10" s="5">
        <v>22000</v>
      </c>
      <c r="AI10" s="5">
        <v>22000</v>
      </c>
      <c r="AJ10" s="26">
        <v>22000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 s="28"/>
    </row>
    <row r="11" spans="1:522" s="4" customFormat="1" x14ac:dyDescent="0.2">
      <c r="A11" s="4" t="s">
        <v>5</v>
      </c>
      <c r="C11" s="5">
        <v>21600</v>
      </c>
      <c r="D11" s="5">
        <v>21600</v>
      </c>
      <c r="E11" s="5">
        <v>21600</v>
      </c>
      <c r="F11" s="5">
        <v>21600</v>
      </c>
      <c r="G11" s="5">
        <v>21600</v>
      </c>
      <c r="H11" s="5">
        <v>21600</v>
      </c>
      <c r="I11" s="5">
        <v>21600</v>
      </c>
      <c r="J11" s="26">
        <v>21600</v>
      </c>
      <c r="K11" s="81">
        <v>21600</v>
      </c>
      <c r="L11" s="5">
        <v>21600</v>
      </c>
      <c r="M11" s="5">
        <v>21600</v>
      </c>
      <c r="N11" s="5">
        <v>21600</v>
      </c>
      <c r="O11" s="5">
        <v>21600</v>
      </c>
      <c r="P11" s="5">
        <v>21600</v>
      </c>
      <c r="Q11" s="5">
        <v>21600</v>
      </c>
      <c r="R11" s="82">
        <v>21600</v>
      </c>
      <c r="S11" s="71">
        <v>21600</v>
      </c>
      <c r="T11" s="5">
        <v>21600</v>
      </c>
      <c r="U11" s="5">
        <v>21600</v>
      </c>
      <c r="V11" s="5">
        <v>21600</v>
      </c>
      <c r="W11" s="5">
        <v>21600</v>
      </c>
      <c r="X11" s="5">
        <v>21600</v>
      </c>
      <c r="Y11" s="5">
        <v>21600</v>
      </c>
      <c r="Z11" s="5">
        <v>21600</v>
      </c>
      <c r="AA11" s="5">
        <v>21600</v>
      </c>
      <c r="AB11" s="5">
        <v>21600</v>
      </c>
      <c r="AC11" s="5">
        <v>21600</v>
      </c>
      <c r="AD11" s="5">
        <v>21600</v>
      </c>
      <c r="AE11" s="5">
        <v>21600</v>
      </c>
      <c r="AF11" s="5">
        <v>21600</v>
      </c>
      <c r="AG11" s="5">
        <v>21600</v>
      </c>
      <c r="AH11" s="5">
        <v>21600</v>
      </c>
      <c r="AI11" s="5">
        <v>21600</v>
      </c>
      <c r="AJ11" s="26">
        <v>21600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 s="28"/>
    </row>
    <row r="12" spans="1:522" s="4" customFormat="1" x14ac:dyDescent="0.2">
      <c r="A12" s="4" t="s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26">
        <v>0</v>
      </c>
      <c r="K12" s="81"/>
      <c r="L12" s="5"/>
      <c r="M12" s="5"/>
      <c r="N12" s="5"/>
      <c r="O12" s="5"/>
      <c r="P12" s="5">
        <f>5086*12</f>
        <v>61032</v>
      </c>
      <c r="Q12" s="5">
        <f t="shared" ref="Q12:AJ12" si="0">P12*1.02</f>
        <v>62252.639999999999</v>
      </c>
      <c r="R12" s="82">
        <f t="shared" si="0"/>
        <v>63497.692799999997</v>
      </c>
      <c r="S12" s="71">
        <f t="shared" si="0"/>
        <v>64767.646655999997</v>
      </c>
      <c r="T12" s="5">
        <f t="shared" si="0"/>
        <v>66062.999589119994</v>
      </c>
      <c r="U12" s="5">
        <f t="shared" si="0"/>
        <v>67384.259580902391</v>
      </c>
      <c r="V12" s="5">
        <f t="shared" si="0"/>
        <v>68731.944772520437</v>
      </c>
      <c r="W12" s="5">
        <f t="shared" si="0"/>
        <v>70106.583667970845</v>
      </c>
      <c r="X12" s="5">
        <f t="shared" si="0"/>
        <v>71508.715341330259</v>
      </c>
      <c r="Y12" s="5">
        <f t="shared" si="0"/>
        <v>72938.889648156866</v>
      </c>
      <c r="Z12" s="5">
        <f t="shared" si="0"/>
        <v>74397.667441120007</v>
      </c>
      <c r="AA12" s="5">
        <f t="shared" si="0"/>
        <v>75885.620789942404</v>
      </c>
      <c r="AB12" s="5">
        <f t="shared" si="0"/>
        <v>77403.333205741248</v>
      </c>
      <c r="AC12" s="5">
        <f t="shared" si="0"/>
        <v>78951.399869856075</v>
      </c>
      <c r="AD12" s="5">
        <f t="shared" si="0"/>
        <v>80530.427867253195</v>
      </c>
      <c r="AE12" s="5">
        <f t="shared" si="0"/>
        <v>82141.036424598264</v>
      </c>
      <c r="AF12" s="5">
        <f t="shared" si="0"/>
        <v>83783.857153090226</v>
      </c>
      <c r="AG12" s="5">
        <f t="shared" si="0"/>
        <v>85459.534296152036</v>
      </c>
      <c r="AH12" s="5">
        <f t="shared" si="0"/>
        <v>87168.724982075073</v>
      </c>
      <c r="AI12" s="5">
        <f t="shared" si="0"/>
        <v>88912.099481716577</v>
      </c>
      <c r="AJ12" s="5">
        <f t="shared" si="0"/>
        <v>90690.341471350912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28"/>
    </row>
    <row r="13" spans="1:522" s="7" customFormat="1" x14ac:dyDescent="0.2">
      <c r="A13" s="8" t="s">
        <v>7</v>
      </c>
      <c r="B13" s="8"/>
      <c r="C13" s="9"/>
      <c r="D13" s="9"/>
      <c r="E13" s="9"/>
      <c r="F13" s="9"/>
      <c r="G13" s="9"/>
      <c r="H13" s="9"/>
      <c r="I13" s="9"/>
      <c r="J13" s="64"/>
      <c r="K13" s="83">
        <f>J36/VLOOKUP(K6,RMD!$B$4:$C$34,2,TRUE)</f>
        <v>32520.325203252032</v>
      </c>
      <c r="L13" s="9">
        <f>K36/VLOOKUP(L6,RMD!$B$4:$C$34,2,TRUE)</f>
        <v>35589.859696065316</v>
      </c>
      <c r="M13" s="9">
        <f>L36/VLOOKUP(M6,RMD!$B$4:$C$34,2,TRUE)</f>
        <v>38778.182716435535</v>
      </c>
      <c r="N13" s="9">
        <f>M36/VLOOKUP(N6,RMD!$B$4:$C$34,2,TRUE)</f>
        <v>42436.551726797436</v>
      </c>
      <c r="O13" s="9">
        <f>N36/VLOOKUP(O6,RMD!$B$4:$C$34,2,TRUE)</f>
        <v>46438.861581599653</v>
      </c>
      <c r="P13" s="9">
        <f>O36/VLOOKUP(P6,RMD!$B$4:$C$34,2,TRUE)</f>
        <v>50817.218605468785</v>
      </c>
      <c r="Q13" s="9">
        <f>P36/VLOOKUP(Q6,RMD!$B$4:$C$34,2,TRUE)</f>
        <v>55320.043284994608</v>
      </c>
      <c r="R13" s="84">
        <f>Q36/VLOOKUP(R6,RMD!$B$4:$C$34,2,TRUE)</f>
        <v>60532.088444224093</v>
      </c>
      <c r="S13" s="72">
        <f>R36/VLOOKUP(S6,RMD!$B$4:$C$34,2,TRUE)</f>
        <v>65858.570238115557</v>
      </c>
      <c r="T13" s="9">
        <f>S36/VLOOKUP(T6,RMD!$B$4:$C$34,2,TRUE)</f>
        <v>72058.292192376248</v>
      </c>
      <c r="U13" s="9">
        <f>T36/VLOOKUP(U6,RMD!$B$4:$C$34,2,TRUE)</f>
        <v>78345.378186161077</v>
      </c>
      <c r="V13" s="9">
        <f>U36/VLOOKUP(V6,RMD!$B$4:$C$34,2,TRUE)</f>
        <v>85149.055765485595</v>
      </c>
      <c r="W13" s="9">
        <f>V36/VLOOKUP(W6,RMD!$B$4:$C$34,2,TRUE)</f>
        <v>92504.988083003918</v>
      </c>
      <c r="X13" s="9">
        <f>W36/VLOOKUP(X6,RMD!$B$4:$C$34,2,TRUE)</f>
        <v>99716.325840131525</v>
      </c>
      <c r="Y13" s="9">
        <f>X36/VLOOKUP(Y6,RMD!$B$4:$C$34,2,TRUE)</f>
        <v>108230.86327524041</v>
      </c>
      <c r="Z13" s="9">
        <f>Y36/VLOOKUP(Z6,RMD!$B$4:$C$34,2,TRUE)</f>
        <v>116441.32753435806</v>
      </c>
      <c r="AA13" s="9">
        <f>Z36/VLOOKUP(AA6,RMD!$B$4:$C$34,2,TRUE)</f>
        <v>125138.98843453314</v>
      </c>
      <c r="AB13" s="9">
        <f>AA36/VLOOKUP(AB6,RMD!$B$4:$C$34,2,TRUE)</f>
        <v>134321.64105808569</v>
      </c>
      <c r="AC13" s="9">
        <f>AB36/VLOOKUP(AC6,RMD!$B$4:$C$34,2,TRUE)</f>
        <v>143976.84020740946</v>
      </c>
      <c r="AD13" s="9">
        <f>AC36/VLOOKUP(AD6,RMD!$B$4:$C$34,2,TRUE)</f>
        <v>152456.3183227827</v>
      </c>
      <c r="AE13" s="9">
        <f>AD36/VLOOKUP(AE6,RMD!$B$4:$C$34,2,TRUE)</f>
        <v>161064.10483482745</v>
      </c>
      <c r="AF13" s="9">
        <f>AE36/VLOOKUP(AF6,RMD!$B$4:$C$34,2,TRUE)</f>
        <v>167688.82486106947</v>
      </c>
      <c r="AG13" s="9">
        <f>AF36/VLOOKUP(AG6,RMD!$B$4:$C$34,2,TRUE)</f>
        <v>176245.25464244199</v>
      </c>
      <c r="AH13" s="9">
        <f>AG36/VLOOKUP(AH6,RMD!$B$4:$C$34,2,TRUE)</f>
        <v>182063.76236419933</v>
      </c>
      <c r="AI13" s="9">
        <f>AH36/VLOOKUP(AI6,RMD!$B$4:$C$34,2,TRUE)</f>
        <v>187244.54736676882</v>
      </c>
      <c r="AJ13" s="9">
        <f>AI36/VLOOKUP(AJ6,RMD!$B$4:$C$34,2,TRUE)</f>
        <v>188590.36755096744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 s="29"/>
    </row>
    <row r="14" spans="1:522" s="8" customFormat="1" x14ac:dyDescent="0.2">
      <c r="A14" s="8" t="s">
        <v>35</v>
      </c>
      <c r="C14" s="9"/>
      <c r="D14" s="9"/>
      <c r="E14" s="9"/>
      <c r="F14" s="9"/>
      <c r="G14" s="9"/>
      <c r="H14" s="9"/>
      <c r="I14" s="9"/>
      <c r="J14" s="64"/>
      <c r="K14" s="83"/>
      <c r="L14" s="9"/>
      <c r="M14" s="9"/>
      <c r="N14" s="9"/>
      <c r="O14" s="9"/>
      <c r="P14" s="9"/>
      <c r="Q14" s="9"/>
      <c r="R14" s="84"/>
      <c r="S14" s="72">
        <f>R39/VLOOKUP(S4,RMD!$B$4:$C$34,2,TRUE)</f>
        <v>123515.85798979942</v>
      </c>
      <c r="T14" s="72">
        <f>S39/VLOOKUP(T4,RMD!$B$4:$C$34,2,TRUE)</f>
        <v>135710.0216168316</v>
      </c>
      <c r="U14" s="72">
        <f>T39/VLOOKUP(U4,RMD!$B$4:$C$34,2,TRUE)</f>
        <v>148522.4819910223</v>
      </c>
      <c r="V14" s="72">
        <f>U39/VLOOKUP(V4,RMD!$B$4:$C$34,2,TRUE)</f>
        <v>162541.24959498504</v>
      </c>
      <c r="W14" s="72">
        <f>V39/VLOOKUP(W4,RMD!$B$4:$C$34,2,TRUE)</f>
        <v>177102.53228250085</v>
      </c>
      <c r="X14" s="72">
        <f>W39/VLOOKUP(X4,RMD!$B$4:$C$34,2,TRUE)</f>
        <v>193810.54618033406</v>
      </c>
      <c r="Y14" s="72">
        <f>X39/VLOOKUP(Y4,RMD!$B$4:$C$34,2,TRUE)</f>
        <v>212089.36072530397</v>
      </c>
      <c r="Z14" s="72">
        <f>Y39/VLOOKUP(Z4,RMD!$B$4:$C$34,2,TRUE)</f>
        <v>232085.60763131094</v>
      </c>
      <c r="AA14" s="72">
        <f>Z39/VLOOKUP(AA4,RMD!$B$4:$C$34,2,TRUE)</f>
        <v>252650.3065755493</v>
      </c>
      <c r="AB14" s="72">
        <f>AA39/VLOOKUP(AB4,RMD!$B$4:$C$34,2,TRUE)</f>
        <v>276454.06248696451</v>
      </c>
      <c r="AC14" s="72">
        <f>AB39/VLOOKUP(AC4,RMD!$B$4:$C$34,2,TRUE)</f>
        <v>300780.45809845871</v>
      </c>
      <c r="AD14" s="72">
        <f>AC39/VLOOKUP(AD4,RMD!$B$4:$C$34,2,TRUE)</f>
        <v>329094.99943671538</v>
      </c>
      <c r="AE14" s="72">
        <f>AD39/VLOOKUP(AE4,RMD!$B$4:$C$34,2,TRUE)</f>
        <v>357808.53813756874</v>
      </c>
      <c r="AF14" s="72">
        <f>AE39/VLOOKUP(AF4,RMD!$B$4:$C$34,2,TRUE)</f>
        <v>388881.38487056812</v>
      </c>
      <c r="AG14" s="72">
        <f>AF39/VLOOKUP(AG4,RMD!$B$4:$C$34,2,TRUE)</f>
        <v>422476.41561910883</v>
      </c>
      <c r="AH14" s="72">
        <f>AG39/VLOOKUP(AH4,RMD!$B$4:$C$34,2,TRUE)</f>
        <v>455411.0734206569</v>
      </c>
      <c r="AI14" s="72">
        <f>AH39/VLOOKUP(AI4,RMD!$B$4:$C$34,2,TRUE)</f>
        <v>494297.53058134316</v>
      </c>
      <c r="AJ14" s="72">
        <f>AI39/VLOOKUP(AJ4,RMD!$B$4:$C$34,2,TRUE)</f>
        <v>531795.26538077218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30"/>
    </row>
    <row r="15" spans="1:522" s="8" customFormat="1" x14ac:dyDescent="0.2">
      <c r="A15" s="8" t="s">
        <v>8</v>
      </c>
      <c r="C15" s="9"/>
      <c r="D15" s="9"/>
      <c r="E15" s="9"/>
      <c r="F15" s="9"/>
      <c r="G15" s="9"/>
      <c r="H15" s="9"/>
      <c r="I15" s="9"/>
      <c r="J15" s="64"/>
      <c r="K15" s="83">
        <f>K24</f>
        <v>190743.67479674792</v>
      </c>
      <c r="L15" s="9">
        <f>L24</f>
        <v>190092.31769580452</v>
      </c>
      <c r="M15" s="9">
        <f t="shared" ref="M15:Q15" si="1">M24</f>
        <v>189782.84487894131</v>
      </c>
      <c r="N15" s="9">
        <f t="shared" si="1"/>
        <v>189507.80116755213</v>
      </c>
      <c r="O15" s="9">
        <f t="shared" si="1"/>
        <v>189426.89887522598</v>
      </c>
      <c r="P15" s="9">
        <f t="shared" si="1"/>
        <v>128517.7331546389</v>
      </c>
      <c r="Q15" s="9">
        <f t="shared" si="1"/>
        <v>125478.08923760295</v>
      </c>
      <c r="R15" s="111">
        <v>0</v>
      </c>
      <c r="S15" s="72">
        <f>R37/VLOOKUP(S4,RMD!$B$4:$C$34,2,TRUE)</f>
        <v>24246.398193272395</v>
      </c>
      <c r="T15" s="9">
        <f>S37/VLOOKUP(T4,RMD!$B$4:$C$34,2,TRUE)</f>
        <v>27522.039047226244</v>
      </c>
      <c r="U15" s="9">
        <f>T37/VLOOKUP(U4,RMD!$B$4:$C$34,2,TRUE)</f>
        <v>31118.923418642193</v>
      </c>
      <c r="V15" s="9">
        <f>U37/VLOOKUP(V4,RMD!$B$4:$C$34,2,TRUE)</f>
        <v>35186.705053703525</v>
      </c>
      <c r="W15" s="9">
        <f>V37/VLOOKUP(W4,RMD!$B$4:$C$34,2,TRUE)</f>
        <v>39613.469126180375</v>
      </c>
      <c r="X15" s="9">
        <f>W37/VLOOKUP(X4,RMD!$B$4:$C$34,2,TRUE)</f>
        <v>44793.830520544951</v>
      </c>
      <c r="Y15" s="9">
        <f>X37/VLOOKUP(Y4,RMD!$B$4:$C$34,2,TRUE)</f>
        <v>50653.118304274998</v>
      </c>
      <c r="Z15" s="9">
        <f>Y37/VLOOKUP(Z4,RMD!$B$4:$C$34,2,TRUE)</f>
        <v>57280.65254576999</v>
      </c>
      <c r="AA15" s="9">
        <f>Z37/VLOOKUP(AA4,RMD!$B$4:$C$34,2,TRUE)</f>
        <v>64443.686724947205</v>
      </c>
      <c r="AB15" s="9">
        <f>AA37/VLOOKUP(AB4,RMD!$B$4:$C$34,2,TRUE)</f>
        <v>72880.584522126752</v>
      </c>
      <c r="AC15" s="9">
        <f>AB37/VLOOKUP(AC4,RMD!$B$4:$C$34,2,TRUE)</f>
        <v>81959.775983781539</v>
      </c>
      <c r="AD15" s="9">
        <f>AC37/VLOOKUP(AD4,RMD!$B$4:$C$34,2,TRUE)</f>
        <v>92697.482349275742</v>
      </c>
      <c r="AE15" s="9">
        <f>AD37/VLOOKUP(AE4,RMD!$B$4:$C$34,2,TRUE)</f>
        <v>104191.97016058593</v>
      </c>
      <c r="AF15" s="9">
        <f>AE37/VLOOKUP(AF4,RMD!$B$4:$C$34,2,TRUE)</f>
        <v>117078.87173307945</v>
      </c>
      <c r="AG15" s="9">
        <f>AF37/VLOOKUP(AG4,RMD!$B$4:$C$34,2,TRUE)</f>
        <v>131518.59924682591</v>
      </c>
      <c r="AH15" s="9">
        <f>AG37/VLOOKUP(AH4,RMD!$B$4:$C$34,2,TRUE)</f>
        <v>146609.63851806751</v>
      </c>
      <c r="AI15" s="9">
        <f>AH37/VLOOKUP(AI4,RMD!$B$4:$C$34,2,TRUE)</f>
        <v>164577.84305272368</v>
      </c>
      <c r="AJ15" s="9">
        <f>AI37/VLOOKUP(AJ4,RMD!$B$4:$C$34,2,TRUE)</f>
        <v>183153.5553382647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30"/>
    </row>
    <row r="16" spans="1:522" s="8" customFormat="1" x14ac:dyDescent="0.2">
      <c r="A16" s="8" t="s">
        <v>9</v>
      </c>
      <c r="C16" s="9"/>
      <c r="D16" s="9"/>
      <c r="E16" s="9"/>
      <c r="F16" s="9"/>
      <c r="G16" s="9"/>
      <c r="H16" s="9"/>
      <c r="I16" s="9"/>
      <c r="J16" s="64"/>
      <c r="K16" s="83">
        <v>0</v>
      </c>
      <c r="L16" s="9">
        <v>0</v>
      </c>
      <c r="M16" s="83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72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30"/>
    </row>
    <row r="17" spans="1:522" s="8" customFormat="1" x14ac:dyDescent="0.2">
      <c r="A17" s="8" t="s">
        <v>51</v>
      </c>
      <c r="C17" s="9"/>
      <c r="D17" s="9"/>
      <c r="E17" s="9"/>
      <c r="F17" s="9"/>
      <c r="G17" s="9"/>
      <c r="H17" s="9"/>
      <c r="I17" s="9"/>
      <c r="J17" s="64"/>
      <c r="K17" s="83">
        <f>K29-(K28-K24)</f>
        <v>140454.43479674793</v>
      </c>
      <c r="L17" s="83">
        <f>L29-(L28-L24)</f>
        <v>149553.07769580453</v>
      </c>
      <c r="M17" s="83">
        <f t="shared" ref="M17:O17" si="2">M29-(M28-M24)</f>
        <v>159286.10487894132</v>
      </c>
      <c r="N17" s="83">
        <f t="shared" si="2"/>
        <v>169354.83616755216</v>
      </c>
      <c r="O17" s="83">
        <f t="shared" si="2"/>
        <v>179928.02212522604</v>
      </c>
      <c r="P17" s="83">
        <f>P29-(P28-P24)</f>
        <v>129992.56730213895</v>
      </c>
      <c r="Q17" s="83">
        <f>Q29-(Q28-Q24)</f>
        <v>138255.84560952801</v>
      </c>
      <c r="R17" s="83">
        <f>R29-(R28-R24)</f>
        <v>109919.65346564376</v>
      </c>
      <c r="S17" s="83">
        <f t="shared" ref="S17:Y17" si="3">IF((S29-S28)&gt;0,(S29-S28),0)</f>
        <v>17747.176678501768</v>
      </c>
      <c r="T17" s="83">
        <f t="shared" si="3"/>
        <v>32000.289695966116</v>
      </c>
      <c r="U17" s="83">
        <f t="shared" si="3"/>
        <v>31454.137850048312</v>
      </c>
      <c r="V17" s="83">
        <f t="shared" si="3"/>
        <v>17064.050388817035</v>
      </c>
      <c r="W17" s="83">
        <f t="shared" si="3"/>
        <v>1595.835907536617</v>
      </c>
      <c r="X17" s="83">
        <f t="shared" si="3"/>
        <v>0</v>
      </c>
      <c r="Y17" s="83">
        <f t="shared" si="3"/>
        <v>0</v>
      </c>
      <c r="Z17" s="83">
        <f>IF((Z29-Z28)&gt;0,(Z29-Z28),0)</f>
        <v>0</v>
      </c>
      <c r="AA17" s="83">
        <f>IF((AA29-AA28)&gt;0,(AA29-AA28),0)</f>
        <v>0</v>
      </c>
      <c r="AB17" s="83">
        <f t="shared" ref="AB17:AE17" si="4">IF((AB29-AB28)&gt;0,(AB29-AB28),0)</f>
        <v>0</v>
      </c>
      <c r="AC17" s="83">
        <f t="shared" si="4"/>
        <v>0</v>
      </c>
      <c r="AD17" s="83">
        <f t="shared" si="4"/>
        <v>0</v>
      </c>
      <c r="AE17" s="83">
        <f t="shared" si="4"/>
        <v>0</v>
      </c>
      <c r="AF17" s="83">
        <f>IF((AF29-AF28)&gt;0,(AF29-AF28),0)</f>
        <v>0</v>
      </c>
      <c r="AG17" s="83">
        <f>IF((AG29-AG28)&gt;0,(AG29-AG28),0)</f>
        <v>0</v>
      </c>
      <c r="AH17" s="83">
        <f t="shared" ref="AH17:AJ17" si="5">IF((AH29-AH28)&gt;0,(AH29-AH28),0)</f>
        <v>0</v>
      </c>
      <c r="AI17" s="83">
        <f t="shared" si="5"/>
        <v>0</v>
      </c>
      <c r="AJ17" s="83">
        <f t="shared" si="5"/>
        <v>0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 s="30"/>
    </row>
    <row r="18" spans="1:522" x14ac:dyDescent="0.2">
      <c r="K18" s="85"/>
      <c r="R18" s="86"/>
      <c r="Y18">
        <f>IF((Y29-Y28)&gt;0,(Y29-Y28),0)</f>
        <v>0</v>
      </c>
      <c r="Z18">
        <f>IF((Z29-Z28)&gt;0,(Z29-Z28),0)</f>
        <v>0</v>
      </c>
      <c r="AA18">
        <f>IF((AA29-AA28)&gt;0,(AA29-AA28),0)</f>
        <v>0</v>
      </c>
    </row>
    <row r="19" spans="1:522" s="10" customFormat="1" ht="17" customHeight="1" x14ac:dyDescent="0.2">
      <c r="A19" s="10" t="s">
        <v>10</v>
      </c>
      <c r="C19" s="13">
        <f t="shared" ref="C19:L19" si="6">SUM(C9:C17)</f>
        <v>178286</v>
      </c>
      <c r="D19" s="13">
        <f t="shared" si="6"/>
        <v>178286</v>
      </c>
      <c r="E19" s="13">
        <f t="shared" si="6"/>
        <v>178286</v>
      </c>
      <c r="F19" s="13">
        <f t="shared" si="6"/>
        <v>178286</v>
      </c>
      <c r="G19" s="13">
        <f t="shared" si="6"/>
        <v>178286</v>
      </c>
      <c r="H19" s="13">
        <f t="shared" si="6"/>
        <v>178286</v>
      </c>
      <c r="I19" s="13">
        <f t="shared" si="6"/>
        <v>178286</v>
      </c>
      <c r="J19" s="65">
        <f t="shared" si="6"/>
        <v>178286</v>
      </c>
      <c r="K19" s="87">
        <f t="shared" si="6"/>
        <v>542004.43479674787</v>
      </c>
      <c r="L19" s="13">
        <f t="shared" si="6"/>
        <v>553521.25508767436</v>
      </c>
      <c r="M19" s="13">
        <f t="shared" ref="M19:R19" si="7">SUM(M9:M17)</f>
        <v>566133.13247431815</v>
      </c>
      <c r="N19" s="13">
        <f t="shared" si="7"/>
        <v>579585.18906190176</v>
      </c>
      <c r="O19" s="13">
        <f t="shared" si="7"/>
        <v>594079.78258205159</v>
      </c>
      <c r="P19" s="13">
        <f t="shared" si="7"/>
        <v>548645.51906224666</v>
      </c>
      <c r="Q19" s="13">
        <f t="shared" si="7"/>
        <v>559592.61813212559</v>
      </c>
      <c r="R19" s="88">
        <f t="shared" si="7"/>
        <v>412235.43470986781</v>
      </c>
      <c r="S19" s="73">
        <f>SUM(S9:S17)</f>
        <v>474421.64975568914</v>
      </c>
      <c r="T19" s="13">
        <f t="shared" ref="T19:AJ19" si="8">SUM(T9:T17)</f>
        <v>511639.64214152022</v>
      </c>
      <c r="U19" s="13">
        <f t="shared" si="8"/>
        <v>535111.18102677632</v>
      </c>
      <c r="V19" s="13">
        <f t="shared" si="8"/>
        <v>546959.0055755116</v>
      </c>
      <c r="W19" s="13">
        <f t="shared" si="8"/>
        <v>559209.40906719258</v>
      </c>
      <c r="X19" s="13">
        <f t="shared" si="8"/>
        <v>588115.41788234073</v>
      </c>
      <c r="Y19" s="13">
        <f>SUM(Y9:Y17)</f>
        <v>622198.2319529762</v>
      </c>
      <c r="Z19" s="13">
        <f>SUM(Z9:Z17)</f>
        <v>658491.25515255891</v>
      </c>
      <c r="AA19" s="13">
        <f>SUM(AA9:AA17)</f>
        <v>696404.60252497194</v>
      </c>
      <c r="AB19" s="13">
        <f t="shared" si="8"/>
        <v>739345.62127291819</v>
      </c>
      <c r="AC19" s="13">
        <f t="shared" si="8"/>
        <v>783954.4741595058</v>
      </c>
      <c r="AD19" s="13">
        <f t="shared" si="8"/>
        <v>833065.22797602706</v>
      </c>
      <c r="AE19" s="13">
        <f t="shared" si="8"/>
        <v>883491.64955758036</v>
      </c>
      <c r="AF19" s="13">
        <f t="shared" si="8"/>
        <v>935718.93861780735</v>
      </c>
      <c r="AG19" s="13">
        <f t="shared" si="8"/>
        <v>993985.80380452878</v>
      </c>
      <c r="AH19" s="13">
        <f t="shared" si="8"/>
        <v>1049539.1992849987</v>
      </c>
      <c r="AI19" s="13">
        <f t="shared" si="8"/>
        <v>1113318.0204825522</v>
      </c>
      <c r="AJ19" s="13">
        <f t="shared" si="8"/>
        <v>1172515.5297413552</v>
      </c>
      <c r="AK19" s="1"/>
      <c r="AL19" s="51">
        <f t="shared" ref="AL19:AL20" si="9">SUM(C19:AK19)</f>
        <v>19479570.225883741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31"/>
    </row>
    <row r="20" spans="1:522" s="20" customFormat="1" x14ac:dyDescent="0.2">
      <c r="A20" s="20" t="s">
        <v>11</v>
      </c>
      <c r="C20" s="21">
        <f t="shared" ref="C20:J20" si="10">C16</f>
        <v>0</v>
      </c>
      <c r="D20" s="21">
        <f t="shared" si="10"/>
        <v>0</v>
      </c>
      <c r="E20" s="21">
        <f t="shared" si="10"/>
        <v>0</v>
      </c>
      <c r="F20" s="21">
        <f t="shared" si="10"/>
        <v>0</v>
      </c>
      <c r="G20" s="21">
        <f t="shared" si="10"/>
        <v>0</v>
      </c>
      <c r="H20" s="21">
        <f t="shared" si="10"/>
        <v>0</v>
      </c>
      <c r="I20" s="21">
        <f t="shared" si="10"/>
        <v>0</v>
      </c>
      <c r="J20" s="27">
        <f t="shared" si="10"/>
        <v>0</v>
      </c>
      <c r="K20" s="89">
        <f>K17+K16</f>
        <v>140454.43479674793</v>
      </c>
      <c r="L20" s="21">
        <f>L17+L16</f>
        <v>149553.07769580453</v>
      </c>
      <c r="M20" s="21">
        <f t="shared" ref="M20:X20" si="11">M17+M16</f>
        <v>159286.10487894132</v>
      </c>
      <c r="N20" s="21">
        <f t="shared" si="11"/>
        <v>169354.83616755216</v>
      </c>
      <c r="O20" s="21">
        <f t="shared" si="11"/>
        <v>179928.02212522604</v>
      </c>
      <c r="P20" s="21">
        <f t="shared" si="11"/>
        <v>129992.56730213895</v>
      </c>
      <c r="Q20" s="21">
        <f t="shared" si="11"/>
        <v>138255.84560952801</v>
      </c>
      <c r="R20" s="90">
        <f t="shared" si="11"/>
        <v>109919.65346564376</v>
      </c>
      <c r="S20" s="90">
        <f t="shared" si="11"/>
        <v>17747.176678501768</v>
      </c>
      <c r="T20" s="90">
        <f t="shared" si="11"/>
        <v>32000.289695966116</v>
      </c>
      <c r="U20" s="90">
        <f t="shared" si="11"/>
        <v>31454.137850048312</v>
      </c>
      <c r="V20" s="90">
        <f t="shared" si="11"/>
        <v>17064.050388817035</v>
      </c>
      <c r="W20" s="90">
        <f t="shared" si="11"/>
        <v>1595.835907536617</v>
      </c>
      <c r="X20" s="90">
        <f t="shared" si="11"/>
        <v>0</v>
      </c>
      <c r="Y20" s="90">
        <f>Y17+Y16</f>
        <v>0</v>
      </c>
      <c r="Z20" s="90">
        <f>Z17+Z16</f>
        <v>0</v>
      </c>
      <c r="AA20" s="90">
        <f>AA17+AA16</f>
        <v>0</v>
      </c>
      <c r="AB20" s="21">
        <f t="shared" ref="AB20:AJ20" si="12">AB17+AB16</f>
        <v>0</v>
      </c>
      <c r="AC20" s="21">
        <f t="shared" si="12"/>
        <v>0</v>
      </c>
      <c r="AD20" s="21">
        <f t="shared" si="12"/>
        <v>0</v>
      </c>
      <c r="AE20" s="21">
        <f t="shared" si="12"/>
        <v>0</v>
      </c>
      <c r="AF20" s="21">
        <f t="shared" si="12"/>
        <v>0</v>
      </c>
      <c r="AG20" s="21">
        <f t="shared" si="12"/>
        <v>0</v>
      </c>
      <c r="AH20" s="21">
        <f t="shared" si="12"/>
        <v>0</v>
      </c>
      <c r="AI20" s="21">
        <f t="shared" si="12"/>
        <v>0</v>
      </c>
      <c r="AJ20" s="21">
        <f t="shared" si="12"/>
        <v>0</v>
      </c>
      <c r="AK20"/>
      <c r="AL20" s="51">
        <f t="shared" si="9"/>
        <v>1276606.0325624524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 s="32"/>
    </row>
    <row r="21" spans="1:522" s="20" customFormat="1" x14ac:dyDescent="0.2">
      <c r="A21" s="20" t="s">
        <v>47</v>
      </c>
      <c r="C21" s="21"/>
      <c r="D21" s="21"/>
      <c r="E21" s="21"/>
      <c r="F21" s="21"/>
      <c r="G21" s="21"/>
      <c r="H21" s="21"/>
      <c r="I21" s="21"/>
      <c r="J21" s="27"/>
      <c r="K21" s="89">
        <f>(Sheet1!$C$21-1)*J38</f>
        <v>80000.000000000073</v>
      </c>
      <c r="L21" s="89">
        <f>(Sheet1!$C$21-1)*K38</f>
        <v>77581.822608130155</v>
      </c>
      <c r="M21" s="89">
        <f>(Sheet1!$C$21-1)*L38</f>
        <v>74702.972404623171</v>
      </c>
      <c r="N21" s="89">
        <f>(Sheet1!$C$21-1)*M38</f>
        <v>71319.647105650438</v>
      </c>
      <c r="O21" s="89">
        <f>(Sheet1!$C$21-1)*N38</f>
        <v>67398.239543174379</v>
      </c>
      <c r="P21" s="89">
        <f>(Sheet1!$C$21-1)*O38</f>
        <v>62897.048239892312</v>
      </c>
      <c r="Q21" s="89">
        <f>(Sheet1!$C$21-1)*P38</f>
        <v>60213.227477402441</v>
      </c>
      <c r="R21" s="89">
        <f>(Sheet1!$C$21-1)*Q38</f>
        <v>57091.522752117417</v>
      </c>
      <c r="S21" s="89">
        <f>(Sheet1!$C$21-1)*R38</f>
        <v>54978.397523576357</v>
      </c>
      <c r="T21" s="89">
        <f>(Sheet1!$C$21-1)*S38</f>
        <v>56467.646357379344</v>
      </c>
      <c r="U21" s="89">
        <f>(Sheet1!$C$21-1)*T38</f>
        <v>57446.34062383588</v>
      </c>
      <c r="V21" s="89">
        <f>(Sheet1!$C$21-1)*U38</f>
        <v>58486.028734787382</v>
      </c>
      <c r="W21" s="89">
        <f>(Sheet1!$C$21-1)*V38</f>
        <v>60142.9078686262</v>
      </c>
      <c r="X21" s="89">
        <f>(Sheet1!$C$21-1)*W38</f>
        <v>62484.79074706979</v>
      </c>
      <c r="Y21" s="89">
        <f>(Sheet1!$C$21-1)*X38</f>
        <v>64984.18237695258</v>
      </c>
      <c r="Z21" s="89">
        <f>(Sheet1!$C$21-1)*Y38</f>
        <v>67583.549672030684</v>
      </c>
      <c r="AA21" s="89">
        <f>(Sheet1!$C$21-1)*Z38</f>
        <v>70286.891658911918</v>
      </c>
      <c r="AB21" s="89">
        <f>(Sheet1!$C$21-1)*AA38</f>
        <v>73098.367325268395</v>
      </c>
      <c r="AC21" s="89">
        <f>(Sheet1!$C$21-1)*AB38</f>
        <v>76022.302018279137</v>
      </c>
      <c r="AD21" s="89">
        <f>(Sheet1!$C$21-1)*AC38</f>
        <v>79063.194099010303</v>
      </c>
      <c r="AE21" s="89">
        <f>(Sheet1!$C$21-1)*AD38</f>
        <v>82225.72186297072</v>
      </c>
      <c r="AF21" s="89">
        <f>(Sheet1!$C$21-1)*AE38</f>
        <v>85514.75073748955</v>
      </c>
      <c r="AG21" s="89">
        <f>(Sheet1!$C$21-1)*AF38</f>
        <v>88935.340766989146</v>
      </c>
      <c r="AH21" s="89">
        <f>(Sheet1!$C$21-1)*AG38</f>
        <v>92492.754397668716</v>
      </c>
      <c r="AI21" s="89">
        <f>(Sheet1!$C$21-1)*AH38</f>
        <v>96192.464573575475</v>
      </c>
      <c r="AJ21" s="89">
        <f>(Sheet1!$C$21-1)*AI38</f>
        <v>100040.16315651851</v>
      </c>
      <c r="AK21"/>
      <c r="AL21" s="5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 s="32"/>
    </row>
    <row r="22" spans="1:522" s="20" customFormat="1" x14ac:dyDescent="0.2">
      <c r="A22" s="20" t="s">
        <v>50</v>
      </c>
      <c r="C22" s="21"/>
      <c r="D22" s="21"/>
      <c r="E22" s="21"/>
      <c r="F22" s="21"/>
      <c r="G22" s="21"/>
      <c r="H22" s="21"/>
      <c r="I22" s="21"/>
      <c r="J22" s="27"/>
      <c r="K22" s="91">
        <f>SUM(K9:K14)+K21</f>
        <v>290806.32520325208</v>
      </c>
      <c r="L22" s="63">
        <f>SUM(L9:L14)+L21</f>
        <v>291457.68230419548</v>
      </c>
      <c r="M22" s="63">
        <f t="shared" ref="M22:R22" si="13">SUM(M9:M14)+M21</f>
        <v>291767.15512105869</v>
      </c>
      <c r="N22" s="63">
        <f t="shared" si="13"/>
        <v>292042.19883244787</v>
      </c>
      <c r="O22" s="63">
        <f t="shared" si="13"/>
        <v>292123.10112477402</v>
      </c>
      <c r="P22" s="63">
        <f t="shared" si="13"/>
        <v>353032.2668453611</v>
      </c>
      <c r="Q22" s="63">
        <f t="shared" si="13"/>
        <v>356071.91076239705</v>
      </c>
      <c r="R22" s="92">
        <f t="shared" si="13"/>
        <v>359407.30399634148</v>
      </c>
      <c r="S22" s="92">
        <f>SUM(S9:S15)+S21</f>
        <v>511652.87060076371</v>
      </c>
      <c r="T22" s="92">
        <f t="shared" ref="T22" si="14">SUM(T9:T14)+T21</f>
        <v>508584.95975570718</v>
      </c>
      <c r="U22" s="92">
        <f t="shared" ref="U22" si="15">SUM(U9:U14)+U21</f>
        <v>529984.46038192161</v>
      </c>
      <c r="V22" s="92">
        <f t="shared" ref="V22:AJ22" si="16">SUM(V9:V14)+V21</f>
        <v>553194.27886777848</v>
      </c>
      <c r="W22" s="92">
        <f t="shared" si="16"/>
        <v>578143.0119021018</v>
      </c>
      <c r="X22" s="92">
        <f t="shared" si="16"/>
        <v>605806.37810886558</v>
      </c>
      <c r="Y22" s="92">
        <f t="shared" si="16"/>
        <v>636529.29602565384</v>
      </c>
      <c r="Z22" s="92">
        <f t="shared" si="16"/>
        <v>668794.1522788197</v>
      </c>
      <c r="AA22" s="92">
        <f t="shared" si="16"/>
        <v>702247.8074589367</v>
      </c>
      <c r="AB22" s="63">
        <f t="shared" si="16"/>
        <v>739563.40407605981</v>
      </c>
      <c r="AC22" s="63">
        <f t="shared" si="16"/>
        <v>778017.00019400334</v>
      </c>
      <c r="AD22" s="63">
        <f t="shared" si="16"/>
        <v>819430.93972576165</v>
      </c>
      <c r="AE22" s="63">
        <f t="shared" si="16"/>
        <v>861525.40125996515</v>
      </c>
      <c r="AF22" s="63">
        <f t="shared" si="16"/>
        <v>904154.81762221747</v>
      </c>
      <c r="AG22" s="63">
        <f t="shared" si="16"/>
        <v>951402.54532469204</v>
      </c>
      <c r="AH22" s="63">
        <f t="shared" si="16"/>
        <v>995422.31516460003</v>
      </c>
      <c r="AI22" s="63">
        <f t="shared" si="16"/>
        <v>1044932.642003404</v>
      </c>
      <c r="AJ22" s="63">
        <f t="shared" si="16"/>
        <v>1089402.137559609</v>
      </c>
      <c r="AK22"/>
      <c r="AL22" s="51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 s="32"/>
    </row>
    <row r="23" spans="1:522" s="20" customFormat="1" x14ac:dyDescent="0.2">
      <c r="A23" s="20" t="s">
        <v>46</v>
      </c>
      <c r="C23" s="21">
        <f>SUM(C9:C15)</f>
        <v>178286</v>
      </c>
      <c r="D23" s="21">
        <f t="shared" ref="D23:I23" si="17">SUM(D9:D17)</f>
        <v>178286</v>
      </c>
      <c r="E23" s="21">
        <f t="shared" si="17"/>
        <v>178286</v>
      </c>
      <c r="F23" s="21">
        <f t="shared" si="17"/>
        <v>178286</v>
      </c>
      <c r="G23" s="21">
        <f t="shared" si="17"/>
        <v>178286</v>
      </c>
      <c r="H23" s="21">
        <f t="shared" si="17"/>
        <v>178286</v>
      </c>
      <c r="I23" s="21">
        <f t="shared" si="17"/>
        <v>178286</v>
      </c>
      <c r="J23" s="27">
        <f>SUM(J9:J14)</f>
        <v>178286</v>
      </c>
      <c r="K23" s="89">
        <f t="shared" ref="K23:AA23" si="18">SUM(K9:K14)+K21-K43</f>
        <v>212806.32520325208</v>
      </c>
      <c r="L23" s="21">
        <f t="shared" si="18"/>
        <v>213457.68230419548</v>
      </c>
      <c r="M23" s="21">
        <f t="shared" si="18"/>
        <v>213767.15512105869</v>
      </c>
      <c r="N23" s="21">
        <f t="shared" si="18"/>
        <v>214042.19883244787</v>
      </c>
      <c r="O23" s="21">
        <f t="shared" si="18"/>
        <v>214123.10112477402</v>
      </c>
      <c r="P23" s="21">
        <f t="shared" si="18"/>
        <v>275032.2668453611</v>
      </c>
      <c r="Q23" s="21">
        <f t="shared" si="18"/>
        <v>278071.91076239705</v>
      </c>
      <c r="R23" s="90">
        <f t="shared" si="18"/>
        <v>281407.30399634148</v>
      </c>
      <c r="S23" s="90">
        <f t="shared" si="18"/>
        <v>409406.4724074913</v>
      </c>
      <c r="T23" s="90">
        <f t="shared" si="18"/>
        <v>430584.95975570718</v>
      </c>
      <c r="U23" s="90">
        <f t="shared" si="18"/>
        <v>451984.46038192161</v>
      </c>
      <c r="V23" s="90">
        <f t="shared" si="18"/>
        <v>475194.27886777848</v>
      </c>
      <c r="W23" s="90">
        <f t="shared" si="18"/>
        <v>500143.0119021018</v>
      </c>
      <c r="X23" s="90">
        <f t="shared" si="18"/>
        <v>527806.37810886558</v>
      </c>
      <c r="Y23" s="90">
        <f t="shared" si="18"/>
        <v>558529.29602565384</v>
      </c>
      <c r="Z23" s="90">
        <f t="shared" si="18"/>
        <v>590794.1522788197</v>
      </c>
      <c r="AA23" s="90">
        <f t="shared" si="18"/>
        <v>624247.8074589367</v>
      </c>
      <c r="AB23" s="21">
        <f t="shared" ref="AB23:AJ23" si="19">SUM(AB9:AB14)</f>
        <v>666465.03675079148</v>
      </c>
      <c r="AC23" s="21">
        <f t="shared" si="19"/>
        <v>701994.69817572425</v>
      </c>
      <c r="AD23" s="21">
        <f t="shared" si="19"/>
        <v>740367.74562675133</v>
      </c>
      <c r="AE23" s="21">
        <f t="shared" si="19"/>
        <v>779299.67939699441</v>
      </c>
      <c r="AF23" s="21">
        <f t="shared" si="19"/>
        <v>818640.06688472792</v>
      </c>
      <c r="AG23" s="21">
        <f t="shared" si="19"/>
        <v>862467.20455770288</v>
      </c>
      <c r="AH23" s="21">
        <f t="shared" si="19"/>
        <v>902929.56076693127</v>
      </c>
      <c r="AI23" s="21">
        <f t="shared" si="19"/>
        <v>948740.17742982856</v>
      </c>
      <c r="AJ23" s="21">
        <f t="shared" si="19"/>
        <v>989361.97440309054</v>
      </c>
      <c r="AK23"/>
      <c r="AL23" s="51">
        <f>SUM(C23:AK23)</f>
        <v>15307952.905369647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 s="32"/>
    </row>
    <row r="24" spans="1:522" s="20" customFormat="1" x14ac:dyDescent="0.2">
      <c r="A24" s="20" t="s">
        <v>44</v>
      </c>
      <c r="C24" s="21"/>
      <c r="D24" s="21"/>
      <c r="E24" s="21"/>
      <c r="F24" s="21"/>
      <c r="G24" s="21"/>
      <c r="H24" s="21"/>
      <c r="I24" s="21"/>
      <c r="J24" s="27"/>
      <c r="K24" s="89">
        <f>'Tax Table'!$C$8-'Aggressive Model with Roth'!K23</f>
        <v>190743.67479674792</v>
      </c>
      <c r="L24" s="21">
        <f>'Tax Table'!$C$8-'Aggressive Model with Roth'!L23</f>
        <v>190092.31769580452</v>
      </c>
      <c r="M24" s="21">
        <f>'Tax Table'!$C$8-'Aggressive Model with Roth'!M23</f>
        <v>189782.84487894131</v>
      </c>
      <c r="N24" s="21">
        <f>'Tax Table'!$C$8-'Aggressive Model with Roth'!N23</f>
        <v>189507.80116755213</v>
      </c>
      <c r="O24" s="21">
        <f>'Tax Table'!$C$8-'Aggressive Model with Roth'!O23</f>
        <v>189426.89887522598</v>
      </c>
      <c r="P24" s="21">
        <f>'Tax Table'!$C$8-'Aggressive Model with Roth'!P23</f>
        <v>128517.7331546389</v>
      </c>
      <c r="Q24" s="21">
        <f>'Tax Table'!$C$8-'Aggressive Model with Roth'!Q23</f>
        <v>125478.08923760295</v>
      </c>
      <c r="R24" s="90">
        <v>0</v>
      </c>
      <c r="S24" s="74">
        <v>0</v>
      </c>
      <c r="T24" s="90">
        <v>0</v>
      </c>
      <c r="U24" s="74">
        <v>0</v>
      </c>
      <c r="V24" s="90">
        <v>0</v>
      </c>
      <c r="W24" s="74">
        <v>0</v>
      </c>
      <c r="X24" s="90">
        <v>0</v>
      </c>
      <c r="Y24" s="74">
        <v>0</v>
      </c>
      <c r="Z24" s="90">
        <v>0</v>
      </c>
      <c r="AA24" s="74">
        <v>0</v>
      </c>
      <c r="AB24" s="90">
        <v>0</v>
      </c>
      <c r="AC24" s="74">
        <v>0</v>
      </c>
      <c r="AD24" s="90">
        <v>0</v>
      </c>
      <c r="AE24" s="74">
        <v>0</v>
      </c>
      <c r="AF24" s="90">
        <v>0</v>
      </c>
      <c r="AG24" s="74">
        <v>0</v>
      </c>
      <c r="AH24" s="90">
        <v>0</v>
      </c>
      <c r="AI24" s="74">
        <v>0</v>
      </c>
      <c r="AJ24" s="90">
        <v>0</v>
      </c>
      <c r="AK24"/>
      <c r="AL24" s="51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 s="32"/>
    </row>
    <row r="25" spans="1:522" s="20" customFormat="1" x14ac:dyDescent="0.2">
      <c r="A25" s="20" t="s">
        <v>54</v>
      </c>
      <c r="C25" s="21"/>
      <c r="D25" s="21"/>
      <c r="E25" s="21"/>
      <c r="F25" s="21"/>
      <c r="G25" s="21"/>
      <c r="H25" s="21"/>
      <c r="I25" s="21"/>
      <c r="J25" s="27"/>
      <c r="K25" s="89">
        <f>K22+K24</f>
        <v>481550</v>
      </c>
      <c r="L25" s="89">
        <f t="shared" ref="L25:AJ25" si="20">L22+L24</f>
        <v>481550</v>
      </c>
      <c r="M25" s="89">
        <f t="shared" si="20"/>
        <v>481550</v>
      </c>
      <c r="N25" s="89">
        <f t="shared" si="20"/>
        <v>481550</v>
      </c>
      <c r="O25" s="89">
        <f t="shared" si="20"/>
        <v>481550</v>
      </c>
      <c r="P25" s="89">
        <f t="shared" si="20"/>
        <v>481550</v>
      </c>
      <c r="Q25" s="89">
        <f t="shared" si="20"/>
        <v>481550</v>
      </c>
      <c r="R25" s="89">
        <f t="shared" si="20"/>
        <v>359407.30399634148</v>
      </c>
      <c r="S25" s="89">
        <f t="shared" si="20"/>
        <v>511652.87060076371</v>
      </c>
      <c r="T25" s="89">
        <f t="shared" si="20"/>
        <v>508584.95975570718</v>
      </c>
      <c r="U25" s="89">
        <f t="shared" si="20"/>
        <v>529984.46038192161</v>
      </c>
      <c r="V25" s="89">
        <f t="shared" si="20"/>
        <v>553194.27886777848</v>
      </c>
      <c r="W25" s="89">
        <f t="shared" si="20"/>
        <v>578143.0119021018</v>
      </c>
      <c r="X25" s="89">
        <f t="shared" si="20"/>
        <v>605806.37810886558</v>
      </c>
      <c r="Y25" s="89">
        <f t="shared" si="20"/>
        <v>636529.29602565384</v>
      </c>
      <c r="Z25" s="89">
        <f t="shared" si="20"/>
        <v>668794.1522788197</v>
      </c>
      <c r="AA25" s="89">
        <f t="shared" si="20"/>
        <v>702247.8074589367</v>
      </c>
      <c r="AB25" s="89">
        <f t="shared" si="20"/>
        <v>739563.40407605981</v>
      </c>
      <c r="AC25" s="89">
        <f t="shared" si="20"/>
        <v>778017.00019400334</v>
      </c>
      <c r="AD25" s="89">
        <f t="shared" si="20"/>
        <v>819430.93972576165</v>
      </c>
      <c r="AE25" s="89">
        <f t="shared" si="20"/>
        <v>861525.40125996515</v>
      </c>
      <c r="AF25" s="89">
        <f t="shared" si="20"/>
        <v>904154.81762221747</v>
      </c>
      <c r="AG25" s="89">
        <f t="shared" si="20"/>
        <v>951402.54532469204</v>
      </c>
      <c r="AH25" s="89">
        <f t="shared" si="20"/>
        <v>995422.31516460003</v>
      </c>
      <c r="AI25" s="89">
        <f t="shared" si="20"/>
        <v>1044932.642003404</v>
      </c>
      <c r="AJ25" s="89">
        <f t="shared" si="20"/>
        <v>1089402.137559609</v>
      </c>
      <c r="AK25"/>
      <c r="AL25" s="51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 s="32"/>
    </row>
    <row r="26" spans="1:522" s="20" customFormat="1" x14ac:dyDescent="0.2">
      <c r="A26" s="20" t="s">
        <v>49</v>
      </c>
      <c r="C26" s="21">
        <f>SUM(C11:C17)</f>
        <v>21600</v>
      </c>
      <c r="D26" s="21">
        <f t="shared" ref="D26:I26" si="21">SUM(D11:D19)</f>
        <v>199886</v>
      </c>
      <c r="E26" s="21">
        <f t="shared" si="21"/>
        <v>199886</v>
      </c>
      <c r="F26" s="21">
        <f t="shared" si="21"/>
        <v>199886</v>
      </c>
      <c r="G26" s="21">
        <f t="shared" si="21"/>
        <v>199886</v>
      </c>
      <c r="H26" s="21">
        <f t="shared" si="21"/>
        <v>199886</v>
      </c>
      <c r="I26" s="21">
        <f t="shared" si="21"/>
        <v>199886</v>
      </c>
      <c r="J26" s="27">
        <f>SUM(J11:J16)</f>
        <v>21600</v>
      </c>
      <c r="K26" s="89">
        <f>K23+K24</f>
        <v>403550</v>
      </c>
      <c r="L26" s="21">
        <f>L23+L24</f>
        <v>403550</v>
      </c>
      <c r="M26" s="21">
        <f t="shared" ref="M26:AJ26" si="22">M23+M24</f>
        <v>403550</v>
      </c>
      <c r="N26" s="21">
        <f t="shared" si="22"/>
        <v>403550</v>
      </c>
      <c r="O26" s="21">
        <f t="shared" si="22"/>
        <v>403550</v>
      </c>
      <c r="P26" s="21">
        <f t="shared" si="22"/>
        <v>403550</v>
      </c>
      <c r="Q26" s="21">
        <f t="shared" si="22"/>
        <v>403550</v>
      </c>
      <c r="R26" s="90">
        <f t="shared" si="22"/>
        <v>281407.30399634148</v>
      </c>
      <c r="S26" s="90">
        <f t="shared" si="22"/>
        <v>409406.4724074913</v>
      </c>
      <c r="T26" s="90">
        <f t="shared" si="22"/>
        <v>430584.95975570718</v>
      </c>
      <c r="U26" s="90">
        <f t="shared" si="22"/>
        <v>451984.46038192161</v>
      </c>
      <c r="V26" s="90">
        <f t="shared" si="22"/>
        <v>475194.27886777848</v>
      </c>
      <c r="W26" s="90">
        <f t="shared" si="22"/>
        <v>500143.0119021018</v>
      </c>
      <c r="X26" s="90">
        <f t="shared" si="22"/>
        <v>527806.37810886558</v>
      </c>
      <c r="Y26" s="90">
        <f t="shared" si="22"/>
        <v>558529.29602565384</v>
      </c>
      <c r="Z26" s="90">
        <f t="shared" si="22"/>
        <v>590794.1522788197</v>
      </c>
      <c r="AA26" s="90">
        <f t="shared" si="22"/>
        <v>624247.8074589367</v>
      </c>
      <c r="AB26" s="21">
        <f t="shared" si="22"/>
        <v>666465.03675079148</v>
      </c>
      <c r="AC26" s="21">
        <f t="shared" si="22"/>
        <v>701994.69817572425</v>
      </c>
      <c r="AD26" s="21">
        <f t="shared" si="22"/>
        <v>740367.74562675133</v>
      </c>
      <c r="AE26" s="21">
        <f t="shared" si="22"/>
        <v>779299.67939699441</v>
      </c>
      <c r="AF26" s="21">
        <f t="shared" si="22"/>
        <v>818640.06688472792</v>
      </c>
      <c r="AG26" s="21">
        <f t="shared" si="22"/>
        <v>862467.20455770288</v>
      </c>
      <c r="AH26" s="21">
        <f t="shared" si="22"/>
        <v>902929.56076693127</v>
      </c>
      <c r="AI26" s="21">
        <f t="shared" si="22"/>
        <v>948740.17742982856</v>
      </c>
      <c r="AJ26" s="21">
        <f t="shared" si="22"/>
        <v>989361.97440309054</v>
      </c>
      <c r="AK26"/>
      <c r="AL26" s="51">
        <f>SUM(C26:AK26)</f>
        <v>16327730.265176162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 s="32"/>
    </row>
    <row r="27" spans="1:522" s="24" customFormat="1" x14ac:dyDescent="0.2">
      <c r="A27" s="52" t="s">
        <v>15</v>
      </c>
      <c r="B27" s="52"/>
      <c r="C27" s="53">
        <f>C45+C48</f>
        <v>26077.43</v>
      </c>
      <c r="D27" s="53">
        <f t="shared" ref="D27:AJ27" si="23">D45+D48</f>
        <v>26077.43</v>
      </c>
      <c r="E27" s="53">
        <f t="shared" si="23"/>
        <v>26077.43</v>
      </c>
      <c r="F27" s="53">
        <f t="shared" si="23"/>
        <v>26077.43</v>
      </c>
      <c r="G27" s="53">
        <f t="shared" si="23"/>
        <v>26077.43</v>
      </c>
      <c r="H27" s="53">
        <f t="shared" si="23"/>
        <v>26743.86</v>
      </c>
      <c r="I27" s="53">
        <f t="shared" si="23"/>
        <v>26743.86</v>
      </c>
      <c r="J27" s="66">
        <f t="shared" si="23"/>
        <v>17555.36</v>
      </c>
      <c r="K27" s="93">
        <f t="shared" si="23"/>
        <v>106260.76</v>
      </c>
      <c r="L27" s="53">
        <f t="shared" si="23"/>
        <v>106260.76</v>
      </c>
      <c r="M27" s="53">
        <f t="shared" si="23"/>
        <v>106260.76</v>
      </c>
      <c r="N27" s="53">
        <f t="shared" si="23"/>
        <v>106260.76</v>
      </c>
      <c r="O27" s="53">
        <f t="shared" si="23"/>
        <v>106260.76</v>
      </c>
      <c r="P27" s="53">
        <f t="shared" si="23"/>
        <v>106260.76</v>
      </c>
      <c r="Q27" s="53">
        <f t="shared" si="23"/>
        <v>106260.76</v>
      </c>
      <c r="R27" s="94">
        <f t="shared" si="23"/>
        <v>69617.951198902447</v>
      </c>
      <c r="S27" s="94">
        <f t="shared" si="23"/>
        <v>117699.7708282902</v>
      </c>
      <c r="T27" s="94">
        <f t="shared" si="23"/>
        <v>116533.96470716874</v>
      </c>
      <c r="U27" s="94">
        <f t="shared" si="23"/>
        <v>124665.77494513022</v>
      </c>
      <c r="V27" s="94">
        <f t="shared" si="23"/>
        <v>133485.50596975582</v>
      </c>
      <c r="W27" s="94">
        <f t="shared" si="23"/>
        <v>142966.02452279869</v>
      </c>
      <c r="X27" s="94">
        <f t="shared" si="23"/>
        <v>153938.76502463489</v>
      </c>
      <c r="Y27" s="94">
        <f t="shared" si="23"/>
        <v>166535.16137051806</v>
      </c>
      <c r="Z27" s="94">
        <f t="shared" si="23"/>
        <v>179763.75243431609</v>
      </c>
      <c r="AA27" s="94">
        <f t="shared" si="23"/>
        <v>193479.75105816405</v>
      </c>
      <c r="AB27" s="53">
        <f t="shared" si="23"/>
        <v>208779.14567118452</v>
      </c>
      <c r="AC27" s="53">
        <f t="shared" si="23"/>
        <v>224545.12007954135</v>
      </c>
      <c r="AD27" s="53">
        <f t="shared" si="23"/>
        <v>241524.83528756228</v>
      </c>
      <c r="AE27" s="53">
        <f t="shared" si="23"/>
        <v>259080.052541785</v>
      </c>
      <c r="AF27" s="53">
        <f t="shared" si="23"/>
        <v>277410.70157755353</v>
      </c>
      <c r="AG27" s="53">
        <f t="shared" si="23"/>
        <v>297727.22448961757</v>
      </c>
      <c r="AH27" s="53">
        <f t="shared" si="23"/>
        <v>316655.72552077798</v>
      </c>
      <c r="AI27" s="53">
        <f t="shared" si="23"/>
        <v>337945.16606146371</v>
      </c>
      <c r="AJ27" s="53">
        <f t="shared" si="23"/>
        <v>357067.04915063182</v>
      </c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4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4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  <c r="KS27" s="34"/>
      <c r="KT27" s="34"/>
      <c r="KU27" s="34"/>
      <c r="KV27" s="34"/>
      <c r="KW27" s="34"/>
      <c r="KX27" s="34"/>
      <c r="KY27" s="34"/>
      <c r="KZ27" s="34"/>
      <c r="LA27" s="34"/>
      <c r="LB27" s="34"/>
      <c r="LC27" s="34"/>
      <c r="LD27" s="34"/>
      <c r="LE27" s="34"/>
      <c r="LF27" s="34"/>
      <c r="LG27" s="34"/>
      <c r="LH27" s="34"/>
      <c r="LI27" s="34"/>
      <c r="LJ27" s="34"/>
      <c r="LK27" s="34"/>
      <c r="LL27" s="34"/>
      <c r="LM27" s="34"/>
      <c r="LN27" s="34"/>
      <c r="LO27" s="34"/>
      <c r="LP27" s="34"/>
      <c r="LQ27" s="34"/>
      <c r="LR27" s="34"/>
      <c r="LS27" s="34"/>
      <c r="LT27" s="34"/>
      <c r="LU27" s="34"/>
      <c r="LV27" s="34"/>
      <c r="LW27" s="34"/>
      <c r="LX27" s="34"/>
      <c r="LY27" s="34"/>
      <c r="LZ27" s="34"/>
      <c r="MA27" s="34"/>
      <c r="MB27" s="34"/>
      <c r="MC27" s="34"/>
      <c r="MD27" s="34"/>
      <c r="ME27" s="34"/>
      <c r="MF27" s="34"/>
      <c r="MG27" s="34"/>
      <c r="MH27" s="34"/>
      <c r="MI27" s="34"/>
      <c r="MJ27" s="34"/>
      <c r="MK27" s="34"/>
      <c r="ML27" s="34"/>
      <c r="MM27" s="34"/>
      <c r="MN27" s="34"/>
      <c r="MO27" s="34"/>
      <c r="MP27" s="34"/>
      <c r="MQ27" s="34"/>
      <c r="MR27" s="34"/>
      <c r="MS27" s="34"/>
      <c r="MT27" s="34"/>
      <c r="MU27" s="34"/>
      <c r="MV27" s="34"/>
      <c r="MW27" s="34"/>
      <c r="MX27" s="34"/>
      <c r="MY27" s="34"/>
      <c r="MZ27" s="34"/>
      <c r="NA27" s="34"/>
      <c r="NB27" s="34"/>
      <c r="NC27" s="34"/>
      <c r="ND27" s="34"/>
      <c r="NE27" s="34"/>
      <c r="NF27" s="34"/>
      <c r="NG27" s="34"/>
      <c r="NH27" s="34"/>
      <c r="NI27" s="34"/>
      <c r="NJ27" s="34"/>
      <c r="NK27" s="34"/>
      <c r="NL27" s="34"/>
      <c r="NM27" s="34"/>
      <c r="NN27" s="34"/>
      <c r="NO27" s="34"/>
      <c r="NP27" s="34"/>
      <c r="NQ27" s="34"/>
      <c r="NR27" s="34"/>
      <c r="NS27" s="34"/>
      <c r="NT27" s="34"/>
      <c r="NU27" s="34"/>
      <c r="NV27" s="34"/>
      <c r="NW27" s="34"/>
      <c r="NX27" s="34"/>
      <c r="NY27" s="34"/>
      <c r="NZ27" s="34"/>
      <c r="OA27" s="34"/>
      <c r="OB27" s="34"/>
      <c r="OC27" s="34"/>
      <c r="OD27" s="34"/>
      <c r="OE27" s="34"/>
      <c r="OF27" s="34"/>
      <c r="OG27" s="34"/>
      <c r="OH27" s="34"/>
      <c r="OI27" s="34"/>
      <c r="OJ27" s="34"/>
      <c r="OK27" s="34"/>
      <c r="OL27" s="34"/>
      <c r="OM27" s="34"/>
      <c r="ON27" s="34"/>
      <c r="OO27" s="34"/>
      <c r="OP27" s="34"/>
      <c r="OQ27" s="34"/>
      <c r="OR27" s="34"/>
      <c r="OS27" s="34"/>
      <c r="OT27" s="34"/>
      <c r="OU27" s="34"/>
      <c r="OV27" s="34"/>
      <c r="OW27" s="34"/>
      <c r="OX27" s="34"/>
      <c r="OY27" s="34"/>
      <c r="OZ27" s="34"/>
      <c r="PA27" s="34"/>
      <c r="PB27" s="34"/>
      <c r="PC27" s="34"/>
      <c r="PD27" s="34"/>
      <c r="PE27" s="34"/>
      <c r="PF27" s="34"/>
      <c r="PG27" s="34"/>
      <c r="PH27" s="34"/>
      <c r="PI27" s="34"/>
      <c r="PJ27" s="34"/>
      <c r="PK27" s="34"/>
      <c r="PL27" s="34"/>
      <c r="PM27" s="34"/>
      <c r="PN27" s="34"/>
      <c r="PO27" s="34"/>
      <c r="PP27" s="34"/>
      <c r="PQ27" s="34"/>
      <c r="PR27" s="34"/>
      <c r="PS27" s="34"/>
      <c r="PT27" s="34"/>
      <c r="PU27" s="34"/>
      <c r="PV27" s="34"/>
      <c r="PW27" s="34"/>
      <c r="PX27" s="34"/>
      <c r="PY27" s="34"/>
      <c r="PZ27" s="34"/>
      <c r="QA27" s="34"/>
      <c r="QB27" s="34"/>
      <c r="QC27" s="34"/>
      <c r="QD27" s="34"/>
      <c r="QE27" s="34"/>
      <c r="QF27" s="34"/>
      <c r="QG27" s="34"/>
      <c r="QH27" s="34"/>
      <c r="QI27" s="34"/>
      <c r="QJ27" s="34"/>
      <c r="QK27" s="34"/>
      <c r="QL27" s="34"/>
      <c r="QM27" s="34"/>
      <c r="QN27" s="34"/>
      <c r="QO27" s="34"/>
      <c r="QP27" s="34"/>
      <c r="QQ27" s="34"/>
      <c r="QR27" s="34"/>
      <c r="QS27" s="34"/>
      <c r="QT27" s="34"/>
      <c r="QU27" s="34"/>
      <c r="QV27" s="34"/>
      <c r="QW27" s="34"/>
      <c r="QX27" s="34"/>
      <c r="QY27" s="34"/>
      <c r="QZ27" s="34"/>
      <c r="RA27" s="34"/>
      <c r="RB27" s="34"/>
      <c r="RC27" s="34"/>
      <c r="RD27" s="34"/>
      <c r="RE27" s="34"/>
      <c r="RF27" s="34"/>
      <c r="RG27" s="34"/>
      <c r="RH27" s="34"/>
      <c r="RI27" s="34"/>
      <c r="RJ27" s="34"/>
      <c r="RK27" s="34"/>
      <c r="RL27" s="34"/>
      <c r="RM27" s="34"/>
      <c r="RN27" s="34"/>
      <c r="RO27" s="34"/>
      <c r="RP27" s="34"/>
      <c r="RQ27" s="34"/>
      <c r="RR27" s="34"/>
      <c r="RS27" s="34"/>
      <c r="RT27" s="34"/>
      <c r="RU27" s="34"/>
      <c r="RV27" s="34"/>
      <c r="RW27" s="34"/>
      <c r="RX27" s="34"/>
      <c r="RY27" s="34"/>
      <c r="RZ27" s="34"/>
      <c r="SA27" s="34"/>
      <c r="SB27" s="34"/>
      <c r="SC27" s="34"/>
      <c r="SD27" s="34"/>
      <c r="SE27" s="34"/>
      <c r="SF27" s="34"/>
      <c r="SG27" s="34"/>
      <c r="SH27" s="34"/>
      <c r="SI27" s="34"/>
      <c r="SJ27" s="34"/>
      <c r="SK27" s="34"/>
      <c r="SL27" s="34"/>
      <c r="SM27" s="34"/>
      <c r="SN27" s="34"/>
      <c r="SO27" s="34"/>
      <c r="SP27" s="34"/>
      <c r="SQ27" s="34"/>
      <c r="SR27" s="34"/>
      <c r="SS27" s="34"/>
      <c r="ST27" s="34"/>
      <c r="SU27" s="34"/>
      <c r="SV27" s="34"/>
      <c r="SW27" s="34"/>
      <c r="SX27" s="34"/>
      <c r="SY27" s="34"/>
      <c r="SZ27" s="34"/>
      <c r="TA27" s="34"/>
      <c r="TB27" s="33"/>
    </row>
    <row r="28" spans="1:522" s="20" customFormat="1" x14ac:dyDescent="0.2">
      <c r="A28" s="20" t="s">
        <v>16</v>
      </c>
      <c r="C28" s="21"/>
      <c r="D28" s="21"/>
      <c r="E28" s="21"/>
      <c r="F28" s="21"/>
      <c r="G28" s="21"/>
      <c r="H28" s="21">
        <f>H26-H27</f>
        <v>173142.14</v>
      </c>
      <c r="I28" s="21">
        <f t="shared" ref="I28:J28" si="24">I26-I27</f>
        <v>173142.14</v>
      </c>
      <c r="J28" s="21">
        <f t="shared" si="24"/>
        <v>4044.6399999999994</v>
      </c>
      <c r="K28" s="21">
        <f>K25-K27</f>
        <v>375289.24</v>
      </c>
      <c r="L28" s="21">
        <f t="shared" ref="L28:AJ28" si="25">L25-L27</f>
        <v>375289.24</v>
      </c>
      <c r="M28" s="21">
        <f t="shared" si="25"/>
        <v>375289.24</v>
      </c>
      <c r="N28" s="21">
        <f t="shared" si="25"/>
        <v>375289.24</v>
      </c>
      <c r="O28" s="21">
        <f t="shared" si="25"/>
        <v>375289.24</v>
      </c>
      <c r="P28" s="21">
        <f t="shared" si="25"/>
        <v>375289.24</v>
      </c>
      <c r="Q28" s="21">
        <f t="shared" si="25"/>
        <v>375289.24</v>
      </c>
      <c r="R28" s="21">
        <f t="shared" si="25"/>
        <v>289789.35279743903</v>
      </c>
      <c r="S28" s="21">
        <f t="shared" si="25"/>
        <v>393953.09977247351</v>
      </c>
      <c r="T28" s="21">
        <f t="shared" si="25"/>
        <v>392050.99504853843</v>
      </c>
      <c r="U28" s="21">
        <f t="shared" si="25"/>
        <v>405318.68543679139</v>
      </c>
      <c r="V28" s="21">
        <f t="shared" si="25"/>
        <v>419708.77289802267</v>
      </c>
      <c r="W28" s="21">
        <f t="shared" si="25"/>
        <v>435176.98737930309</v>
      </c>
      <c r="X28" s="21">
        <f t="shared" si="25"/>
        <v>451867.61308423069</v>
      </c>
      <c r="Y28" s="21">
        <f t="shared" si="25"/>
        <v>469994.1346551358</v>
      </c>
      <c r="Z28" s="21">
        <f t="shared" si="25"/>
        <v>489030.39984450361</v>
      </c>
      <c r="AA28" s="21">
        <f t="shared" si="25"/>
        <v>508768.05640077265</v>
      </c>
      <c r="AB28" s="21">
        <f t="shared" si="25"/>
        <v>530784.25840487529</v>
      </c>
      <c r="AC28" s="21">
        <f t="shared" si="25"/>
        <v>553471.88011446199</v>
      </c>
      <c r="AD28" s="21">
        <f t="shared" si="25"/>
        <v>577906.10443819943</v>
      </c>
      <c r="AE28" s="21">
        <f t="shared" si="25"/>
        <v>602445.34871818009</v>
      </c>
      <c r="AF28" s="21">
        <f t="shared" si="25"/>
        <v>626744.11604466394</v>
      </c>
      <c r="AG28" s="21">
        <f t="shared" si="25"/>
        <v>653675.32083507441</v>
      </c>
      <c r="AH28" s="21">
        <f t="shared" si="25"/>
        <v>678766.58964382205</v>
      </c>
      <c r="AI28" s="21">
        <f t="shared" si="25"/>
        <v>706987.47594194021</v>
      </c>
      <c r="AJ28" s="21">
        <f t="shared" si="25"/>
        <v>732335.08840897726</v>
      </c>
      <c r="AK28"/>
      <c r="AL28" s="51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 s="32"/>
    </row>
    <row r="29" spans="1:522" s="20" customFormat="1" x14ac:dyDescent="0.2">
      <c r="A29" s="20" t="s">
        <v>52</v>
      </c>
      <c r="C29" s="21">
        <f t="shared" ref="C29:J29" si="26">C23-C27+C20</f>
        <v>152208.57</v>
      </c>
      <c r="D29" s="21">
        <f t="shared" si="26"/>
        <v>152208.57</v>
      </c>
      <c r="E29" s="21">
        <f t="shared" si="26"/>
        <v>152208.57</v>
      </c>
      <c r="F29" s="21">
        <f t="shared" si="26"/>
        <v>152208.57</v>
      </c>
      <c r="G29" s="21">
        <f t="shared" si="26"/>
        <v>152208.57</v>
      </c>
      <c r="H29" s="21">
        <f t="shared" si="26"/>
        <v>151542.14000000001</v>
      </c>
      <c r="I29" s="21">
        <f t="shared" si="26"/>
        <v>151542.14000000001</v>
      </c>
      <c r="J29" s="27">
        <f t="shared" si="26"/>
        <v>160730.64000000001</v>
      </c>
      <c r="K29" s="89">
        <f>Q7</f>
        <v>325000</v>
      </c>
      <c r="L29" s="21">
        <f t="shared" ref="L29:U29" si="27">K29*$M7</f>
        <v>334750</v>
      </c>
      <c r="M29" s="21">
        <f t="shared" si="27"/>
        <v>344792.5</v>
      </c>
      <c r="N29" s="21">
        <f t="shared" si="27"/>
        <v>355136.27500000002</v>
      </c>
      <c r="O29" s="21">
        <f t="shared" si="27"/>
        <v>365790.36325000005</v>
      </c>
      <c r="P29" s="21">
        <f t="shared" si="27"/>
        <v>376764.07414750004</v>
      </c>
      <c r="Q29" s="21">
        <f t="shared" si="27"/>
        <v>388066.99637192505</v>
      </c>
      <c r="R29" s="90">
        <f t="shared" si="27"/>
        <v>399709.00626308279</v>
      </c>
      <c r="S29" s="90">
        <f t="shared" si="27"/>
        <v>411700.27645097527</v>
      </c>
      <c r="T29" s="90">
        <f t="shared" si="27"/>
        <v>424051.28474450455</v>
      </c>
      <c r="U29" s="90">
        <f t="shared" si="27"/>
        <v>436772.8232868397</v>
      </c>
      <c r="V29" s="90">
        <f>U29</f>
        <v>436772.8232868397</v>
      </c>
      <c r="W29" s="90">
        <f t="shared" ref="W29:AJ29" si="28">V29</f>
        <v>436772.8232868397</v>
      </c>
      <c r="X29" s="90">
        <f t="shared" si="28"/>
        <v>436772.8232868397</v>
      </c>
      <c r="Y29" s="90">
        <f t="shared" si="28"/>
        <v>436772.8232868397</v>
      </c>
      <c r="Z29" s="90">
        <f t="shared" si="28"/>
        <v>436772.8232868397</v>
      </c>
      <c r="AA29" s="90">
        <f t="shared" si="28"/>
        <v>436772.8232868397</v>
      </c>
      <c r="AB29" s="90">
        <f t="shared" si="28"/>
        <v>436772.8232868397</v>
      </c>
      <c r="AC29" s="90">
        <f t="shared" si="28"/>
        <v>436772.8232868397</v>
      </c>
      <c r="AD29" s="90">
        <f t="shared" si="28"/>
        <v>436772.8232868397</v>
      </c>
      <c r="AE29" s="90">
        <f t="shared" si="28"/>
        <v>436772.8232868397</v>
      </c>
      <c r="AF29" s="90">
        <f t="shared" si="28"/>
        <v>436772.8232868397</v>
      </c>
      <c r="AG29" s="90">
        <f t="shared" si="28"/>
        <v>436772.8232868397</v>
      </c>
      <c r="AH29" s="90">
        <f t="shared" si="28"/>
        <v>436772.8232868397</v>
      </c>
      <c r="AI29" s="90">
        <f t="shared" si="28"/>
        <v>436772.8232868397</v>
      </c>
      <c r="AJ29" s="90">
        <f t="shared" si="28"/>
        <v>436772.8232868397</v>
      </c>
      <c r="AK29"/>
      <c r="AL29" s="51">
        <f>SUM(C29:AK29)</f>
        <v>11938983.718817417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 s="32"/>
    </row>
    <row r="30" spans="1:522" s="20" customFormat="1" x14ac:dyDescent="0.2">
      <c r="A30" s="20" t="s">
        <v>53</v>
      </c>
      <c r="C30" s="21"/>
      <c r="D30" s="21"/>
      <c r="E30" s="21"/>
      <c r="F30" s="21"/>
      <c r="G30" s="21"/>
      <c r="H30" s="21"/>
      <c r="I30" s="21"/>
      <c r="J30" s="27"/>
      <c r="K30" s="89">
        <f>K20+K28-K24</f>
        <v>325000</v>
      </c>
      <c r="L30" s="89">
        <f>L20+L28-L24</f>
        <v>334750</v>
      </c>
      <c r="M30" s="89">
        <f t="shared" ref="M30:Q30" si="29">M20+M28-M24</f>
        <v>344792.5</v>
      </c>
      <c r="N30" s="89">
        <f t="shared" si="29"/>
        <v>355136.27500000002</v>
      </c>
      <c r="O30" s="89">
        <f>O20+O28-O24</f>
        <v>365790.36324999999</v>
      </c>
      <c r="P30" s="89">
        <f t="shared" si="29"/>
        <v>376764.07414750004</v>
      </c>
      <c r="Q30" s="89">
        <f t="shared" si="29"/>
        <v>388066.99637192505</v>
      </c>
      <c r="R30" s="89">
        <f>R20+R28-R24</f>
        <v>399709.00626308279</v>
      </c>
      <c r="S30" s="90">
        <f>S28+S17</f>
        <v>411700.27645097527</v>
      </c>
      <c r="T30" s="90">
        <f t="shared" ref="T30:X30" si="30">T28+T17</f>
        <v>424051.28474450455</v>
      </c>
      <c r="U30" s="90">
        <f t="shared" si="30"/>
        <v>436772.8232868397</v>
      </c>
      <c r="V30" s="90">
        <f t="shared" si="30"/>
        <v>436772.8232868397</v>
      </c>
      <c r="W30" s="90">
        <f t="shared" si="30"/>
        <v>436772.8232868397</v>
      </c>
      <c r="X30" s="90">
        <f t="shared" si="30"/>
        <v>451867.61308423069</v>
      </c>
      <c r="Y30" s="90">
        <f>Y28+Y17</f>
        <v>469994.1346551358</v>
      </c>
      <c r="Z30" s="90">
        <f>Z28+Z17</f>
        <v>489030.39984450361</v>
      </c>
      <c r="AA30" s="90">
        <f>AA28+AA17</f>
        <v>508768.05640077265</v>
      </c>
      <c r="AB30" s="90">
        <f>AB28+AB17</f>
        <v>530784.25840487529</v>
      </c>
      <c r="AC30" s="90">
        <f t="shared" ref="AC30:AJ30" si="31">AC28+AC17</f>
        <v>553471.88011446199</v>
      </c>
      <c r="AD30" s="90">
        <f t="shared" si="31"/>
        <v>577906.10443819943</v>
      </c>
      <c r="AE30" s="90">
        <f t="shared" si="31"/>
        <v>602445.34871818009</v>
      </c>
      <c r="AF30" s="90">
        <f t="shared" si="31"/>
        <v>626744.11604466394</v>
      </c>
      <c r="AG30" s="90">
        <f t="shared" si="31"/>
        <v>653675.32083507441</v>
      </c>
      <c r="AH30" s="90">
        <f t="shared" si="31"/>
        <v>678766.58964382205</v>
      </c>
      <c r="AI30" s="90">
        <f t="shared" si="31"/>
        <v>706987.47594194021</v>
      </c>
      <c r="AJ30" s="90">
        <f t="shared" si="31"/>
        <v>732335.08840897726</v>
      </c>
      <c r="AK30"/>
      <c r="AL30" s="51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 s="32"/>
    </row>
    <row r="31" spans="1:522" s="10" customFormat="1" x14ac:dyDescent="0.2">
      <c r="A31" s="10" t="s">
        <v>32</v>
      </c>
      <c r="C31" s="13">
        <f t="shared" ref="C31:AJ31" si="32">C29/12</f>
        <v>12684.047500000001</v>
      </c>
      <c r="D31" s="13">
        <f t="shared" si="32"/>
        <v>12684.047500000001</v>
      </c>
      <c r="E31" s="13">
        <f t="shared" si="32"/>
        <v>12684.047500000001</v>
      </c>
      <c r="F31" s="13">
        <f t="shared" si="32"/>
        <v>12684.047500000001</v>
      </c>
      <c r="G31" s="13">
        <f t="shared" si="32"/>
        <v>12684.047500000001</v>
      </c>
      <c r="H31" s="13">
        <f t="shared" si="32"/>
        <v>12628.511666666667</v>
      </c>
      <c r="I31" s="13">
        <f t="shared" si="32"/>
        <v>12628.511666666667</v>
      </c>
      <c r="J31" s="65">
        <f t="shared" si="32"/>
        <v>13394.220000000001</v>
      </c>
      <c r="K31" s="87">
        <f t="shared" si="32"/>
        <v>27083.333333333332</v>
      </c>
      <c r="L31" s="13">
        <f t="shared" si="32"/>
        <v>27895.833333333332</v>
      </c>
      <c r="M31" s="13">
        <f t="shared" si="32"/>
        <v>28732.708333333332</v>
      </c>
      <c r="N31" s="13">
        <f t="shared" si="32"/>
        <v>29594.689583333336</v>
      </c>
      <c r="O31" s="13">
        <f t="shared" si="32"/>
        <v>30482.530270833337</v>
      </c>
      <c r="P31" s="13">
        <f t="shared" si="32"/>
        <v>31397.006178958338</v>
      </c>
      <c r="Q31" s="13">
        <f t="shared" si="32"/>
        <v>32338.916364327088</v>
      </c>
      <c r="R31" s="88">
        <f t="shared" si="32"/>
        <v>33309.083855256897</v>
      </c>
      <c r="S31" s="88">
        <f t="shared" si="32"/>
        <v>34308.356370914604</v>
      </c>
      <c r="T31" s="88">
        <f t="shared" si="32"/>
        <v>35337.607062042043</v>
      </c>
      <c r="U31" s="88">
        <f t="shared" si="32"/>
        <v>36397.735273903309</v>
      </c>
      <c r="V31" s="88">
        <f t="shared" si="32"/>
        <v>36397.735273903309</v>
      </c>
      <c r="W31" s="88">
        <f t="shared" si="32"/>
        <v>36397.735273903309</v>
      </c>
      <c r="X31" s="88">
        <f t="shared" si="32"/>
        <v>36397.735273903309</v>
      </c>
      <c r="Y31" s="88">
        <f t="shared" si="32"/>
        <v>36397.735273903309</v>
      </c>
      <c r="Z31" s="88">
        <f t="shared" si="32"/>
        <v>36397.735273903309</v>
      </c>
      <c r="AA31" s="88">
        <f t="shared" si="32"/>
        <v>36397.735273903309</v>
      </c>
      <c r="AB31" s="13">
        <f t="shared" si="32"/>
        <v>36397.735273903309</v>
      </c>
      <c r="AC31" s="13">
        <f t="shared" si="32"/>
        <v>36397.735273903309</v>
      </c>
      <c r="AD31" s="13">
        <f t="shared" si="32"/>
        <v>36397.735273903309</v>
      </c>
      <c r="AE31" s="13">
        <f t="shared" si="32"/>
        <v>36397.735273903309</v>
      </c>
      <c r="AF31" s="13">
        <f t="shared" si="32"/>
        <v>36397.735273903309</v>
      </c>
      <c r="AG31" s="13">
        <f t="shared" si="32"/>
        <v>36397.735273903309</v>
      </c>
      <c r="AH31" s="13">
        <f t="shared" si="32"/>
        <v>36397.735273903309</v>
      </c>
      <c r="AI31" s="13">
        <f t="shared" si="32"/>
        <v>36397.735273903309</v>
      </c>
      <c r="AJ31" s="13">
        <f t="shared" si="32"/>
        <v>36397.735273903309</v>
      </c>
      <c r="AK31" s="1"/>
      <c r="AL31" s="51">
        <f t="shared" ref="AL31" si="33">SUM(C31:AK31)</f>
        <v>994915.30990145239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31"/>
    </row>
    <row r="32" spans="1:522" x14ac:dyDescent="0.2">
      <c r="C32" s="2"/>
      <c r="D32" s="2"/>
      <c r="E32" s="2"/>
      <c r="F32" s="2"/>
      <c r="G32" s="2"/>
      <c r="H32" s="2"/>
      <c r="I32" s="2"/>
      <c r="J32" s="2"/>
      <c r="K32" s="95"/>
      <c r="L32" s="96"/>
      <c r="M32" s="96"/>
      <c r="N32" s="96"/>
      <c r="O32" s="96"/>
      <c r="P32" s="96"/>
      <c r="Q32" s="96"/>
      <c r="R32" s="97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521" x14ac:dyDescent="0.2">
      <c r="J33" t="s">
        <v>48</v>
      </c>
      <c r="K33" s="98">
        <f>K20+K28-K24</f>
        <v>325000</v>
      </c>
      <c r="L33" s="98">
        <f>L20+L28-L24</f>
        <v>334750</v>
      </c>
      <c r="M33" s="51">
        <f t="shared" ref="M33:U33" si="34">M20+M30-M24+M21</f>
        <v>388998.73240462318</v>
      </c>
      <c r="N33" s="51">
        <f t="shared" si="34"/>
        <v>406302.95710565051</v>
      </c>
      <c r="O33" s="51">
        <f t="shared" si="34"/>
        <v>423689.72604317445</v>
      </c>
      <c r="P33" s="51">
        <f t="shared" si="34"/>
        <v>441135.95653489238</v>
      </c>
      <c r="Q33" s="51">
        <f t="shared" si="34"/>
        <v>461057.9802212526</v>
      </c>
      <c r="R33" s="99">
        <f t="shared" si="34"/>
        <v>566720.18248084397</v>
      </c>
      <c r="S33" s="51">
        <f t="shared" si="34"/>
        <v>484425.85065305338</v>
      </c>
      <c r="T33" s="51">
        <f t="shared" si="34"/>
        <v>512519.22079784999</v>
      </c>
      <c r="U33" s="51">
        <f t="shared" si="34"/>
        <v>525673.30176072393</v>
      </c>
      <c r="V33" s="51">
        <f>U33</f>
        <v>525673.30176072393</v>
      </c>
      <c r="W33" s="51">
        <f t="shared" ref="W33:AJ33" si="35">V33</f>
        <v>525673.30176072393</v>
      </c>
      <c r="X33" s="51">
        <f t="shared" si="35"/>
        <v>525673.30176072393</v>
      </c>
      <c r="Y33" s="51">
        <f t="shared" si="35"/>
        <v>525673.30176072393</v>
      </c>
      <c r="Z33" s="51">
        <f t="shared" si="35"/>
        <v>525673.30176072393</v>
      </c>
      <c r="AA33" s="51">
        <f t="shared" si="35"/>
        <v>525673.30176072393</v>
      </c>
      <c r="AB33" s="51">
        <f t="shared" si="35"/>
        <v>525673.30176072393</v>
      </c>
      <c r="AC33" s="51">
        <f t="shared" si="35"/>
        <v>525673.30176072393</v>
      </c>
      <c r="AD33" s="51">
        <f t="shared" si="35"/>
        <v>525673.30176072393</v>
      </c>
      <c r="AE33" s="51">
        <f t="shared" si="35"/>
        <v>525673.30176072393</v>
      </c>
      <c r="AF33" s="51">
        <f t="shared" si="35"/>
        <v>525673.30176072393</v>
      </c>
      <c r="AG33" s="51">
        <f t="shared" si="35"/>
        <v>525673.30176072393</v>
      </c>
      <c r="AH33" s="51">
        <f t="shared" si="35"/>
        <v>525673.30176072393</v>
      </c>
      <c r="AI33" s="51">
        <f t="shared" si="35"/>
        <v>525673.30176072393</v>
      </c>
      <c r="AJ33" s="51">
        <f t="shared" si="35"/>
        <v>525673.30176072393</v>
      </c>
    </row>
    <row r="34" spans="1:521" x14ac:dyDescent="0.2">
      <c r="A34" s="1" t="s">
        <v>13</v>
      </c>
      <c r="C34" s="50"/>
      <c r="K34" s="85"/>
      <c r="R34" s="86"/>
    </row>
    <row r="35" spans="1:521" s="11" customFormat="1" x14ac:dyDescent="0.2">
      <c r="A35" s="8" t="s">
        <v>9</v>
      </c>
      <c r="B35" s="8"/>
      <c r="C35" s="9">
        <f>370632*1.03-C16</f>
        <v>381750.96</v>
      </c>
      <c r="D35" s="9">
        <f>C35*$J$7-D16</f>
        <v>404656.01760000002</v>
      </c>
      <c r="E35" s="9">
        <f>D35*$J$7-E16</f>
        <v>428935.37865600002</v>
      </c>
      <c r="F35" s="9">
        <f>E35*$J$7-F16</f>
        <v>454671.50137536007</v>
      </c>
      <c r="G35" s="9">
        <f>F35*$J$7-G16</f>
        <v>481951.79145788169</v>
      </c>
      <c r="H35" s="9">
        <v>300000</v>
      </c>
      <c r="I35" s="9">
        <f>H35*$J$7-I16</f>
        <v>318000</v>
      </c>
      <c r="J35" s="64">
        <f>Sheet1!E5</f>
        <v>300000</v>
      </c>
      <c r="K35" s="83">
        <f>J35*Sheet1!$C$18-K16+K24</f>
        <v>541743.67479674798</v>
      </c>
      <c r="L35" s="83">
        <f>K35*Sheet1!$C$18-L16+L24</f>
        <v>823932.41720799962</v>
      </c>
      <c r="M35" s="83">
        <f>L35*Sheet1!$C$18-M16+M24</f>
        <v>1153783.773012301</v>
      </c>
      <c r="N35" s="83">
        <f>M35*Sheet1!$C$18-N16+N24</f>
        <v>1539434.8155919441</v>
      </c>
      <c r="O35" s="83">
        <f>N35*Sheet1!$C$18-O16+O24</f>
        <v>1990565.6331178006</v>
      </c>
      <c r="P35" s="83">
        <f>O35*Sheet1!$C$18-P16+P24</f>
        <v>2457479.5239024656</v>
      </c>
      <c r="Q35" s="83">
        <f>P35*Sheet1!$C$18-Q16+Q24</f>
        <v>3000729.1322034877</v>
      </c>
      <c r="R35" s="83">
        <f>Q35*Sheet1!$C$18-R16+R24</f>
        <v>3510853.0846780804</v>
      </c>
      <c r="S35" s="72">
        <f>R35*Sheet1!$C$18-S16</f>
        <v>4107698.1090733539</v>
      </c>
      <c r="T35" s="72">
        <f>S35*Sheet1!$C$18-T16</f>
        <v>4806006.7876158236</v>
      </c>
      <c r="U35" s="72">
        <f>T35*Sheet1!$C$18-U16</f>
        <v>5623027.9415105134</v>
      </c>
      <c r="V35" s="72">
        <f>U35*Sheet1!$C$18-V16</f>
        <v>6578942.6915672999</v>
      </c>
      <c r="W35" s="72">
        <f>V35*Sheet1!$C$18-W16</f>
        <v>7697362.9491337407</v>
      </c>
      <c r="X35" s="72">
        <f>W35*Sheet1!$C$18-X16</f>
        <v>9005914.6504864767</v>
      </c>
      <c r="Y35" s="72">
        <f>X35*Sheet1!$C$18-Y16</f>
        <v>10536920.141069178</v>
      </c>
      <c r="Z35" s="72">
        <f>Y35*Sheet1!$C$18-Z16</f>
        <v>12328196.565050937</v>
      </c>
      <c r="AA35" s="72">
        <f>Z35*Sheet1!$C$18-AA16</f>
        <v>14423989.981109595</v>
      </c>
      <c r="AB35" s="72">
        <f>AA35*Sheet1!$C$18-AB16</f>
        <v>16876068.277898226</v>
      </c>
      <c r="AC35" s="72">
        <f>AB35*Sheet1!$C$18-AC16</f>
        <v>19744999.885140922</v>
      </c>
      <c r="AD35" s="72">
        <f>AC35*Sheet1!$C$18-AD16</f>
        <v>23101649.865614876</v>
      </c>
      <c r="AE35" s="72">
        <f>AD35*Sheet1!$C$18-AE16</f>
        <v>27028930.342769403</v>
      </c>
      <c r="AF35" s="72">
        <f>AE35*Sheet1!$C$18-AF16</f>
        <v>31623848.501040198</v>
      </c>
      <c r="AG35" s="72">
        <f>AF35*Sheet1!$C$18-AG16</f>
        <v>36999902.746217027</v>
      </c>
      <c r="AH35" s="72">
        <f>AG35*Sheet1!$C$18-AH16</f>
        <v>43289886.213073917</v>
      </c>
      <c r="AI35" s="72">
        <f>AH35*Sheet1!$C$18-AI16</f>
        <v>50649166.869296476</v>
      </c>
      <c r="AJ35" s="72">
        <f>AI35*Sheet1!$C$18-AJ16</f>
        <v>59259525.237076871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</row>
    <row r="36" spans="1:521" s="12" customFormat="1" x14ac:dyDescent="0.2">
      <c r="A36" s="8" t="s">
        <v>7</v>
      </c>
      <c r="B36" s="8"/>
      <c r="C36" s="9">
        <f>566294*1.03-46500</f>
        <v>536782.82000000007</v>
      </c>
      <c r="D36" s="9">
        <f>C36*$J$7-D13</f>
        <v>568989.78920000012</v>
      </c>
      <c r="E36" s="9">
        <f>D36*$J$7-E13</f>
        <v>603129.17655200011</v>
      </c>
      <c r="F36" s="9">
        <f>E36*$J$7-F13</f>
        <v>639316.92714512011</v>
      </c>
      <c r="G36" s="9">
        <f>F36*$J$7-G13</f>
        <v>677675.94277382735</v>
      </c>
      <c r="H36" s="9">
        <v>695000</v>
      </c>
      <c r="I36" s="9">
        <f>H36*$J$7-I13</f>
        <v>736700</v>
      </c>
      <c r="J36" s="64">
        <f>Sheet1!E6</f>
        <v>800000</v>
      </c>
      <c r="K36" s="83">
        <f>J36*Sheet1!$C$19-K13</f>
        <v>843479.67479674798</v>
      </c>
      <c r="L36" s="83">
        <f>K36*Sheet1!$C$19-L13</f>
        <v>888020.38420637371</v>
      </c>
      <c r="M36" s="83">
        <f>L36*Sheet1!$C$19-M13</f>
        <v>933604.13798954361</v>
      </c>
      <c r="N36" s="83">
        <f>M36*Sheet1!$C$19-N13</f>
        <v>979859.97937175271</v>
      </c>
      <c r="O36" s="83">
        <f>N36*Sheet1!$C$19-O13</f>
        <v>1026507.8158304695</v>
      </c>
      <c r="P36" s="83">
        <f>O36*Sheet1!$C$19-P13</f>
        <v>1073208.8397288953</v>
      </c>
      <c r="Q36" s="83">
        <f>P36*Sheet1!$C$19-Q13</f>
        <v>1119843.6362181457</v>
      </c>
      <c r="R36" s="83">
        <f>Q36*Sheet1!$C$19-R13</f>
        <v>1165696.6932146454</v>
      </c>
      <c r="S36" s="83">
        <f>R36*Sheet1!$C$19-S13</f>
        <v>1210579.3088319211</v>
      </c>
      <c r="T36" s="83">
        <f>S36*Sheet1!$C$19-T13</f>
        <v>1253526.0509785772</v>
      </c>
      <c r="U36" s="83">
        <f>T36*Sheet1!$C$19-U13</f>
        <v>1294265.647635381</v>
      </c>
      <c r="V36" s="83">
        <f>U36*Sheet1!$C$19-V13</f>
        <v>1332071.8283952565</v>
      </c>
      <c r="W36" s="83">
        <f>V36*Sheet1!$C$19-W13</f>
        <v>1366113.6640098018</v>
      </c>
      <c r="X36" s="83">
        <f>W36*Sheet1!$C$19-X13</f>
        <v>1396178.1362506014</v>
      </c>
      <c r="Y36" s="83">
        <f>X36*Sheet1!$C$19-Y13</f>
        <v>1420584.1959191682</v>
      </c>
      <c r="Z36" s="83">
        <f>Y36*Sheet1!$C$19-Z13</f>
        <v>1439098.3669971311</v>
      </c>
      <c r="AA36" s="83">
        <f>Z36*Sheet1!$C$19-AA13</f>
        <v>1450673.7234273255</v>
      </c>
      <c r="AB36" s="83">
        <f>AA36*Sheet1!$C$19-AB13</f>
        <v>1454166.0860948355</v>
      </c>
      <c r="AC36" s="83">
        <f>AB36*Sheet1!$C$19-AC13</f>
        <v>1448335.0240664356</v>
      </c>
      <c r="AD36" s="83">
        <f>AC36*Sheet1!$C$19-AD13</f>
        <v>1433470.5330299644</v>
      </c>
      <c r="AE36" s="83">
        <f>AD36*Sheet1!$C$19-AE13</f>
        <v>1408586.1288329836</v>
      </c>
      <c r="AF36" s="83">
        <f>AE36*Sheet1!$C$19-AF13</f>
        <v>1374712.9862110475</v>
      </c>
      <c r="AG36" s="83">
        <f>AF36*Sheet1!$C$19-AG13</f>
        <v>1329065.4652586551</v>
      </c>
      <c r="AH36" s="83">
        <f>AG36*Sheet1!$C$19-AH13</f>
        <v>1273262.922094028</v>
      </c>
      <c r="AI36" s="83">
        <f>AH36*Sheet1!$C$19-AI13</f>
        <v>1206978.3523261917</v>
      </c>
      <c r="AJ36" s="83">
        <f>AI36*Sheet1!$C$19-AJ13</f>
        <v>1133050.9282462124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</row>
    <row r="37" spans="1:521" s="11" customFormat="1" x14ac:dyDescent="0.2">
      <c r="A37" s="8" t="s">
        <v>8</v>
      </c>
      <c r="B37" s="8"/>
      <c r="C37" s="9">
        <f>568057*1.03</f>
        <v>585098.71</v>
      </c>
      <c r="D37" s="9">
        <f>C37*$J$7-D15</f>
        <v>620204.63260000001</v>
      </c>
      <c r="E37" s="9">
        <f>D37*$J$7-E15</f>
        <v>657416.91055600008</v>
      </c>
      <c r="F37" s="9">
        <f>E37*$J$7-F15</f>
        <v>696861.92518936016</v>
      </c>
      <c r="G37" s="9">
        <f>F37*$J$7-G15</f>
        <v>738673.64070072176</v>
      </c>
      <c r="H37" s="9">
        <v>842000</v>
      </c>
      <c r="I37" s="9">
        <f>H37*$J$7-I15</f>
        <v>892520</v>
      </c>
      <c r="J37" s="64">
        <f>Sheet1!E4</f>
        <v>1025000</v>
      </c>
      <c r="K37" s="83">
        <f>J37*Sheet1!$C$20-K15</f>
        <v>967506.32520325202</v>
      </c>
      <c r="L37" s="83">
        <f>K37*Sheet1!$C$20-L15</f>
        <v>903189.82978387026</v>
      </c>
      <c r="M37" s="83">
        <f>L37*Sheet1!$C$20-M15</f>
        <v>830821.662776832</v>
      </c>
      <c r="N37" s="83">
        <f>M37*Sheet1!$C$20-N15</f>
        <v>749320.67777026794</v>
      </c>
      <c r="O37" s="83">
        <f>N37*Sheet1!$C$20-O15</f>
        <v>657305.4670051767</v>
      </c>
      <c r="P37" s="83">
        <f>O37*Sheet1!$C$20-P15</f>
        <v>614237.44456121069</v>
      </c>
      <c r="Q37" s="83">
        <f>P37*Sheet1!$C$20-Q15</f>
        <v>568610.22311656503</v>
      </c>
      <c r="R37" s="83">
        <f>Q37*Sheet1!$C$20-R15</f>
        <v>642529.55212171841</v>
      </c>
      <c r="S37" s="72">
        <f>R37*Sheet1!$C$20-S15</f>
        <v>701811.99570426927</v>
      </c>
      <c r="T37" s="72">
        <f>S37*Sheet1!$C$20-T15</f>
        <v>765525.51609859802</v>
      </c>
      <c r="U37" s="72">
        <f>T37*Sheet1!$C$20-U15</f>
        <v>833924.90977277351</v>
      </c>
      <c r="V37" s="72">
        <f>U37*Sheet1!$C$20-V15</f>
        <v>907148.44298953051</v>
      </c>
      <c r="W37" s="72">
        <f>V37*Sheet1!$C$20-W15</f>
        <v>985464.27145198896</v>
      </c>
      <c r="X37" s="72">
        <f>W37*Sheet1!$C$20-X15</f>
        <v>1068780.7962202025</v>
      </c>
      <c r="Y37" s="72">
        <f>X37*Sheet1!$C$20-Y15</f>
        <v>1157069.1814245537</v>
      </c>
      <c r="Z37" s="72">
        <f>Y37*Sheet1!$C$20-Z15</f>
        <v>1250207.5224639757</v>
      </c>
      <c r="AA37" s="72">
        <f>Z37*Sheet1!$C$20-AA15</f>
        <v>1348290.813659345</v>
      </c>
      <c r="AB37" s="72">
        <f>AA37*Sheet1!$C$20-AB15</f>
        <v>1450688.0349129331</v>
      </c>
      <c r="AC37" s="72">
        <f>AB37*Sheet1!$C$20-AC15</f>
        <v>1557317.7034678326</v>
      </c>
      <c r="AD37" s="72">
        <f>AC37*Sheet1!$C$20-AD15</f>
        <v>1667071.5225693749</v>
      </c>
      <c r="AE37" s="72">
        <f>AD37*Sheet1!$C$20-AE15</f>
        <v>1779598.8503428076</v>
      </c>
      <c r="AF37" s="72">
        <f>AE37*Sheet1!$C$20-AF15</f>
        <v>1893867.8291542931</v>
      </c>
      <c r="AG37" s="72">
        <f>AF37*Sheet1!$C$20-AG15</f>
        <v>2008552.047697525</v>
      </c>
      <c r="AH37" s="72">
        <f>AG37*Sheet1!$C$20-AH15</f>
        <v>2123054.1753801354</v>
      </c>
      <c r="AI37" s="72">
        <f>AH37*Sheet1!$C$20-AI15</f>
        <v>2234473.3751268294</v>
      </c>
      <c r="AJ37" s="72">
        <f>AI37*Sheet1!$C$20-AJ15</f>
        <v>2341801.358555052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</row>
    <row r="38" spans="1:521" s="11" customFormat="1" x14ac:dyDescent="0.2">
      <c r="A38" s="8" t="s">
        <v>51</v>
      </c>
      <c r="B38" s="8"/>
      <c r="C38" s="9">
        <v>451786</v>
      </c>
      <c r="D38" s="9">
        <f>C38*$J$7-D17</f>
        <v>478893.16000000003</v>
      </c>
      <c r="E38" s="9">
        <f>D38*$J$7-E17</f>
        <v>507626.74960000004</v>
      </c>
      <c r="F38" s="9">
        <f>E38*$J$7-F17</f>
        <v>538084.35457600001</v>
      </c>
      <c r="G38" s="9">
        <f>F38*$J$7-G17</f>
        <v>570369.41585056006</v>
      </c>
      <c r="H38" s="9">
        <v>650000</v>
      </c>
      <c r="I38" s="9">
        <f>H38*$J$7-I17</f>
        <v>689000</v>
      </c>
      <c r="J38" s="64">
        <v>2000000</v>
      </c>
      <c r="K38" s="83">
        <f>J38*Sheet1!$C$21-K17</f>
        <v>1939545.565203252</v>
      </c>
      <c r="L38" s="83">
        <f>K38*Sheet1!$C$21-L17</f>
        <v>1867574.3101155777</v>
      </c>
      <c r="M38" s="83">
        <f>L38*Sheet1!$C$21-M17</f>
        <v>1782991.1776412595</v>
      </c>
      <c r="N38" s="83">
        <f>M38*Sheet1!$C$21-N17</f>
        <v>1684955.988579358</v>
      </c>
      <c r="O38" s="83">
        <f>N38*Sheet1!$C$21-O17</f>
        <v>1572426.2059973064</v>
      </c>
      <c r="P38" s="83">
        <f>O38*Sheet1!$C$21-P17</f>
        <v>1505330.6869350597</v>
      </c>
      <c r="Q38" s="83">
        <f>P38*Sheet1!$C$21-Q17</f>
        <v>1427288.0688029341</v>
      </c>
      <c r="R38" s="83">
        <f>Q38*Sheet1!$C$21-R17</f>
        <v>1374459.9380894077</v>
      </c>
      <c r="S38" s="83">
        <f>R38*Sheet1!$C$21-S17</f>
        <v>1411691.1589344824</v>
      </c>
      <c r="T38" s="83">
        <f>S38*Sheet1!$C$21-T17</f>
        <v>1436158.5155958957</v>
      </c>
      <c r="U38" s="83">
        <f>T38*Sheet1!$C$21-U17</f>
        <v>1462150.7183696833</v>
      </c>
      <c r="V38" s="83">
        <f>U38*Sheet1!$C$21-V17</f>
        <v>1503572.6967156536</v>
      </c>
      <c r="W38" s="83">
        <f>V38*Sheet1!$C$21-W17</f>
        <v>1562119.7686767434</v>
      </c>
      <c r="X38" s="83">
        <f>W38*Sheet1!$C$21-X17</f>
        <v>1624604.5594238131</v>
      </c>
      <c r="Y38" s="83">
        <f>X38*Sheet1!$C$21-Y17</f>
        <v>1689588.7418007657</v>
      </c>
      <c r="Z38" s="83">
        <f>Y38*Sheet1!$C$21-Z17</f>
        <v>1757172.2914727964</v>
      </c>
      <c r="AA38" s="83">
        <f>Z38*Sheet1!$C$21-AA17</f>
        <v>1827459.1831317083</v>
      </c>
      <c r="AB38" s="83">
        <f>AA38*Sheet1!$C$21-AB17</f>
        <v>1900557.5504569768</v>
      </c>
      <c r="AC38" s="83">
        <f>AB38*Sheet1!$C$21-AC17</f>
        <v>1976579.852475256</v>
      </c>
      <c r="AD38" s="83">
        <f>AC38*Sheet1!$C$21-AD17</f>
        <v>2055643.0465742662</v>
      </c>
      <c r="AE38" s="83">
        <f>AD38*Sheet1!$C$21-AE17</f>
        <v>2137868.768437237</v>
      </c>
      <c r="AF38" s="83">
        <f>AE38*Sheet1!$C$21-AF17</f>
        <v>2223383.5191747267</v>
      </c>
      <c r="AG38" s="83">
        <f>AF38*Sheet1!$C$21-AG17</f>
        <v>2312318.8599417158</v>
      </c>
      <c r="AH38" s="83">
        <f>AG38*Sheet1!$C$21-AH17</f>
        <v>2404811.6143393847</v>
      </c>
      <c r="AI38" s="83">
        <f>AH38*Sheet1!$C$21-AI17</f>
        <v>2501004.0789129604</v>
      </c>
      <c r="AJ38" s="83">
        <f>AI38*Sheet1!$C$21-AJ17</f>
        <v>2601044.2420694791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</row>
    <row r="39" spans="1:521" s="11" customFormat="1" x14ac:dyDescent="0.2">
      <c r="A39" s="8" t="s">
        <v>35</v>
      </c>
      <c r="B39" s="8"/>
      <c r="C39" s="9"/>
      <c r="D39" s="9"/>
      <c r="E39" s="9"/>
      <c r="F39" s="9"/>
      <c r="G39" s="9"/>
      <c r="H39" s="9">
        <v>908000</v>
      </c>
      <c r="I39" s="9">
        <f>H39*$J$7-I14</f>
        <v>962480</v>
      </c>
      <c r="J39" s="64">
        <f>Sheet1!E9</f>
        <v>1583637.0000000002</v>
      </c>
      <c r="K39" s="83">
        <f>J39*Sheet1!$C$22-K14</f>
        <v>1734082.5150000001</v>
      </c>
      <c r="L39" s="83">
        <f>K39*Sheet1!$C$22-L14</f>
        <v>1898820.3539250002</v>
      </c>
      <c r="M39" s="83">
        <f>L39*Sheet1!$C$22-M14</f>
        <v>2079208.2875478752</v>
      </c>
      <c r="N39" s="83">
        <f>M39*Sheet1!$C$22-N14</f>
        <v>2276733.0748649235</v>
      </c>
      <c r="O39" s="83">
        <f>N39*Sheet1!$C$22-O14</f>
        <v>2493022.716977091</v>
      </c>
      <c r="P39" s="83">
        <f>O39*Sheet1!$C$22-P14</f>
        <v>2729859.8750899145</v>
      </c>
      <c r="Q39" s="83">
        <f>P39*Sheet1!$C$22-Q14</f>
        <v>2989196.5632234565</v>
      </c>
      <c r="R39" s="83">
        <f>Q39*Sheet1!$C$22-R14</f>
        <v>3273170.2367296848</v>
      </c>
      <c r="S39" s="83">
        <f>R39*Sheet1!$C$22-S14</f>
        <v>3460605.5512292054</v>
      </c>
      <c r="T39" s="83">
        <f>S39*Sheet1!$C$22-T14</f>
        <v>3653653.0569791486</v>
      </c>
      <c r="U39" s="83">
        <f>T39*Sheet1!$C$22-U14</f>
        <v>3852227.6154011455</v>
      </c>
      <c r="V39" s="83">
        <f>U39*Sheet1!$C$22-V14</f>
        <v>4055647.9892692692</v>
      </c>
      <c r="W39" s="83">
        <f>V39*Sheet1!$C$22-W14</f>
        <v>4263832.0159673495</v>
      </c>
      <c r="X39" s="83">
        <f>W39*Sheet1!$C$22-X14</f>
        <v>4475085.5113039138</v>
      </c>
      <c r="Y39" s="83">
        <f>X39*Sheet1!$C$22-Y14</f>
        <v>4688129.274152481</v>
      </c>
      <c r="Z39" s="83">
        <f>Y39*Sheet1!$C$22-Z14</f>
        <v>4901415.9475656562</v>
      </c>
      <c r="AA39" s="83">
        <f>Z39*Sheet1!$C$22-AA14</f>
        <v>5114400.1560088433</v>
      </c>
      <c r="AB39" s="83">
        <f>AA39*Sheet1!$C$22-AB14</f>
        <v>5323814.1083427193</v>
      </c>
      <c r="AC39" s="83">
        <f>AB39*Sheet1!$C$22-AC14</f>
        <v>5528795.9905368183</v>
      </c>
      <c r="AD39" s="83">
        <f>AC39*Sheet1!$C$22-AD14</f>
        <v>5724936.6102010999</v>
      </c>
      <c r="AE39" s="83">
        <f>AD39*Sheet1!$C$22-AE14</f>
        <v>5910997.0500326352</v>
      </c>
      <c r="AF39" s="83">
        <f>AE39*Sheet1!$C$22-AF14</f>
        <v>6083660.3849151675</v>
      </c>
      <c r="AG39" s="83">
        <f>AF39*Sheet1!$C$22-AG14</f>
        <v>6239131.705862999</v>
      </c>
      <c r="AH39" s="83">
        <f>AG39*Sheet1!$C$22-AH14</f>
        <v>6376438.1444993271</v>
      </c>
      <c r="AI39" s="83">
        <f>AH39*Sheet1!$C$22-AI14</f>
        <v>6487902.2376454202</v>
      </c>
      <c r="AJ39" s="83">
        <f>AI39*Sheet1!$C$22-AJ14</f>
        <v>6572457.6848409632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</row>
    <row r="40" spans="1:521" s="14" customFormat="1" x14ac:dyDescent="0.2">
      <c r="A40" s="10" t="s">
        <v>14</v>
      </c>
      <c r="B40" s="10"/>
      <c r="C40" s="13">
        <f t="shared" ref="C40:AJ40" si="36">SUM(C35:C39)</f>
        <v>1955418.49</v>
      </c>
      <c r="D40" s="13">
        <f t="shared" si="36"/>
        <v>2072743.5994000002</v>
      </c>
      <c r="E40" s="13">
        <f t="shared" si="36"/>
        <v>2197108.2153640003</v>
      </c>
      <c r="F40" s="13">
        <f t="shared" si="36"/>
        <v>2328934.7082858402</v>
      </c>
      <c r="G40" s="13">
        <f t="shared" si="36"/>
        <v>2468670.7907829909</v>
      </c>
      <c r="H40" s="13">
        <f t="shared" si="36"/>
        <v>3395000</v>
      </c>
      <c r="I40" s="13">
        <f t="shared" si="36"/>
        <v>3598700</v>
      </c>
      <c r="J40" s="65">
        <f t="shared" si="36"/>
        <v>5708637</v>
      </c>
      <c r="K40" s="87">
        <f t="shared" si="36"/>
        <v>6026357.7550000008</v>
      </c>
      <c r="L40" s="13">
        <f t="shared" si="36"/>
        <v>6381537.2952388218</v>
      </c>
      <c r="M40" s="13">
        <f t="shared" si="36"/>
        <v>6780409.0389678115</v>
      </c>
      <c r="N40" s="13">
        <f t="shared" si="36"/>
        <v>7230304.5361782461</v>
      </c>
      <c r="O40" s="13">
        <f t="shared" si="36"/>
        <v>7739827.8389278445</v>
      </c>
      <c r="P40" s="13">
        <f t="shared" si="36"/>
        <v>8380116.3702175459</v>
      </c>
      <c r="Q40" s="13">
        <f t="shared" si="36"/>
        <v>9105667.6235645898</v>
      </c>
      <c r="R40" s="88">
        <f t="shared" si="36"/>
        <v>9966709.5048335362</v>
      </c>
      <c r="S40" s="73">
        <f t="shared" si="36"/>
        <v>10892386.123773232</v>
      </c>
      <c r="T40" s="13">
        <f t="shared" si="36"/>
        <v>11914869.927268043</v>
      </c>
      <c r="U40" s="13">
        <f t="shared" si="36"/>
        <v>13065596.832689496</v>
      </c>
      <c r="V40" s="13">
        <f t="shared" si="36"/>
        <v>14377383.648937009</v>
      </c>
      <c r="W40" s="13">
        <f t="shared" si="36"/>
        <v>15874892.669239625</v>
      </c>
      <c r="X40" s="13">
        <f t="shared" si="36"/>
        <v>17570563.653685007</v>
      </c>
      <c r="Y40" s="13">
        <f t="shared" si="36"/>
        <v>19492291.534366146</v>
      </c>
      <c r="Z40" s="13">
        <f t="shared" si="36"/>
        <v>21676090.693550497</v>
      </c>
      <c r="AA40" s="13">
        <f t="shared" si="36"/>
        <v>24164813.857336819</v>
      </c>
      <c r="AB40" s="13">
        <f t="shared" si="36"/>
        <v>27005294.057705689</v>
      </c>
      <c r="AC40" s="13">
        <f t="shared" si="36"/>
        <v>30256028.455687262</v>
      </c>
      <c r="AD40" s="13">
        <f t="shared" si="36"/>
        <v>33982771.577989578</v>
      </c>
      <c r="AE40" s="13">
        <f t="shared" si="36"/>
        <v>38265981.140415065</v>
      </c>
      <c r="AF40" s="13">
        <f t="shared" si="36"/>
        <v>43199473.220495425</v>
      </c>
      <c r="AG40" s="13">
        <f t="shared" si="36"/>
        <v>48888970.824977919</v>
      </c>
      <c r="AH40" s="13">
        <f t="shared" si="36"/>
        <v>55467453.06938678</v>
      </c>
      <c r="AI40" s="13">
        <f t="shared" si="36"/>
        <v>63079524.913307875</v>
      </c>
      <c r="AJ40" s="13">
        <f t="shared" si="36"/>
        <v>71907879.450788572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</row>
    <row r="41" spans="1:521" x14ac:dyDescent="0.2">
      <c r="K41" s="85"/>
      <c r="R41" s="86"/>
    </row>
    <row r="42" spans="1:521" x14ac:dyDescent="0.2">
      <c r="A42" s="46" t="s">
        <v>25</v>
      </c>
      <c r="B42" s="46"/>
      <c r="C42" s="47">
        <f t="shared" ref="C42:J42" si="37">C23</f>
        <v>178286</v>
      </c>
      <c r="D42" s="47">
        <f t="shared" si="37"/>
        <v>178286</v>
      </c>
      <c r="E42" s="47">
        <f t="shared" si="37"/>
        <v>178286</v>
      </c>
      <c r="F42" s="47">
        <f t="shared" si="37"/>
        <v>178286</v>
      </c>
      <c r="G42" s="47">
        <f t="shared" si="37"/>
        <v>178286</v>
      </c>
      <c r="H42" s="47">
        <f t="shared" si="37"/>
        <v>178286</v>
      </c>
      <c r="I42" s="47">
        <f t="shared" si="37"/>
        <v>178286</v>
      </c>
      <c r="J42" s="67">
        <f t="shared" si="37"/>
        <v>178286</v>
      </c>
      <c r="K42" s="100">
        <f>K25</f>
        <v>481550</v>
      </c>
      <c r="L42" s="100">
        <f t="shared" ref="L42:AJ42" si="38">L25</f>
        <v>481550</v>
      </c>
      <c r="M42" s="100">
        <f t="shared" si="38"/>
        <v>481550</v>
      </c>
      <c r="N42" s="100">
        <f t="shared" si="38"/>
        <v>481550</v>
      </c>
      <c r="O42" s="100">
        <f t="shared" si="38"/>
        <v>481550</v>
      </c>
      <c r="P42" s="100">
        <f t="shared" si="38"/>
        <v>481550</v>
      </c>
      <c r="Q42" s="100">
        <f t="shared" si="38"/>
        <v>481550</v>
      </c>
      <c r="R42" s="100">
        <f t="shared" si="38"/>
        <v>359407.30399634148</v>
      </c>
      <c r="S42" s="100">
        <f t="shared" si="38"/>
        <v>511652.87060076371</v>
      </c>
      <c r="T42" s="100">
        <f t="shared" si="38"/>
        <v>508584.95975570718</v>
      </c>
      <c r="U42" s="100">
        <f t="shared" si="38"/>
        <v>529984.46038192161</v>
      </c>
      <c r="V42" s="100">
        <f t="shared" si="38"/>
        <v>553194.27886777848</v>
      </c>
      <c r="W42" s="100">
        <f t="shared" si="38"/>
        <v>578143.0119021018</v>
      </c>
      <c r="X42" s="100">
        <f t="shared" si="38"/>
        <v>605806.37810886558</v>
      </c>
      <c r="Y42" s="100">
        <f t="shared" si="38"/>
        <v>636529.29602565384</v>
      </c>
      <c r="Z42" s="100">
        <f t="shared" si="38"/>
        <v>668794.1522788197</v>
      </c>
      <c r="AA42" s="100">
        <f t="shared" si="38"/>
        <v>702247.8074589367</v>
      </c>
      <c r="AB42" s="100">
        <f t="shared" si="38"/>
        <v>739563.40407605981</v>
      </c>
      <c r="AC42" s="100">
        <f t="shared" si="38"/>
        <v>778017.00019400334</v>
      </c>
      <c r="AD42" s="100">
        <f t="shared" si="38"/>
        <v>819430.93972576165</v>
      </c>
      <c r="AE42" s="100">
        <f t="shared" si="38"/>
        <v>861525.40125996515</v>
      </c>
      <c r="AF42" s="100">
        <f t="shared" si="38"/>
        <v>904154.81762221747</v>
      </c>
      <c r="AG42" s="100">
        <f t="shared" si="38"/>
        <v>951402.54532469204</v>
      </c>
      <c r="AH42" s="100">
        <f t="shared" si="38"/>
        <v>995422.31516460003</v>
      </c>
      <c r="AI42" s="100">
        <f t="shared" si="38"/>
        <v>1044932.642003404</v>
      </c>
      <c r="AJ42" s="100">
        <f t="shared" si="38"/>
        <v>1089402.137559609</v>
      </c>
    </row>
    <row r="43" spans="1:521" x14ac:dyDescent="0.2">
      <c r="A43" s="46" t="s">
        <v>27</v>
      </c>
      <c r="B43" s="46"/>
      <c r="C43" s="47">
        <v>45000</v>
      </c>
      <c r="D43" s="47">
        <f>C43</f>
        <v>45000</v>
      </c>
      <c r="E43" s="47">
        <f t="shared" ref="E43:I43" si="39">D43</f>
        <v>45000</v>
      </c>
      <c r="F43" s="47">
        <f t="shared" si="39"/>
        <v>45000</v>
      </c>
      <c r="G43" s="47">
        <f t="shared" si="39"/>
        <v>45000</v>
      </c>
      <c r="H43" s="47">
        <f t="shared" si="39"/>
        <v>45000</v>
      </c>
      <c r="I43" s="47">
        <f t="shared" si="39"/>
        <v>45000</v>
      </c>
      <c r="J43" s="67">
        <v>78000</v>
      </c>
      <c r="K43" s="67">
        <v>78000</v>
      </c>
      <c r="L43" s="67">
        <v>78000</v>
      </c>
      <c r="M43" s="67">
        <v>78000</v>
      </c>
      <c r="N43" s="67">
        <v>78000</v>
      </c>
      <c r="O43" s="67">
        <v>78000</v>
      </c>
      <c r="P43" s="67">
        <v>78000</v>
      </c>
      <c r="Q43" s="67">
        <v>78000</v>
      </c>
      <c r="R43" s="67">
        <v>78000</v>
      </c>
      <c r="S43" s="67">
        <v>78000</v>
      </c>
      <c r="T43" s="67">
        <v>78000</v>
      </c>
      <c r="U43" s="67">
        <v>78000</v>
      </c>
      <c r="V43" s="67">
        <v>78000</v>
      </c>
      <c r="W43" s="67">
        <v>78000</v>
      </c>
      <c r="X43" s="67">
        <v>78000</v>
      </c>
      <c r="Y43" s="67">
        <v>78000</v>
      </c>
      <c r="Z43" s="67">
        <v>78000</v>
      </c>
      <c r="AA43" s="67">
        <v>78000</v>
      </c>
      <c r="AB43" s="67">
        <v>78000</v>
      </c>
      <c r="AC43" s="67">
        <v>78000</v>
      </c>
      <c r="AD43" s="67">
        <v>78000</v>
      </c>
      <c r="AE43" s="67">
        <v>78000</v>
      </c>
      <c r="AF43" s="67">
        <v>78000</v>
      </c>
      <c r="AG43" s="67">
        <v>78000</v>
      </c>
      <c r="AH43" s="67">
        <v>78000</v>
      </c>
      <c r="AI43" s="67">
        <v>78000</v>
      </c>
      <c r="AJ43" s="67">
        <v>78000</v>
      </c>
    </row>
    <row r="44" spans="1:521" x14ac:dyDescent="0.2">
      <c r="A44" s="46" t="s">
        <v>26</v>
      </c>
      <c r="B44" s="46"/>
      <c r="C44" s="47">
        <f>C42-C43</f>
        <v>133286</v>
      </c>
      <c r="D44" s="47">
        <f t="shared" ref="D44:AJ44" si="40">D42-D43</f>
        <v>133286</v>
      </c>
      <c r="E44" s="47">
        <f t="shared" si="40"/>
        <v>133286</v>
      </c>
      <c r="F44" s="47">
        <f t="shared" si="40"/>
        <v>133286</v>
      </c>
      <c r="G44" s="47">
        <f t="shared" si="40"/>
        <v>133286</v>
      </c>
      <c r="H44" s="47">
        <f t="shared" si="40"/>
        <v>133286</v>
      </c>
      <c r="I44" s="47">
        <f t="shared" si="40"/>
        <v>133286</v>
      </c>
      <c r="J44" s="67">
        <f t="shared" si="40"/>
        <v>100286</v>
      </c>
      <c r="K44" s="100">
        <f t="shared" si="40"/>
        <v>403550</v>
      </c>
      <c r="L44" s="47">
        <f t="shared" si="40"/>
        <v>403550</v>
      </c>
      <c r="M44" s="47">
        <f t="shared" si="40"/>
        <v>403550</v>
      </c>
      <c r="N44" s="47">
        <f t="shared" si="40"/>
        <v>403550</v>
      </c>
      <c r="O44" s="47">
        <f t="shared" si="40"/>
        <v>403550</v>
      </c>
      <c r="P44" s="47">
        <f t="shared" si="40"/>
        <v>403550</v>
      </c>
      <c r="Q44" s="47">
        <f t="shared" si="40"/>
        <v>403550</v>
      </c>
      <c r="R44" s="101">
        <f t="shared" si="40"/>
        <v>281407.30399634148</v>
      </c>
      <c r="S44" s="75">
        <f t="shared" si="40"/>
        <v>433652.87060076371</v>
      </c>
      <c r="T44" s="47">
        <f t="shared" si="40"/>
        <v>430584.95975570718</v>
      </c>
      <c r="U44" s="47">
        <f t="shared" si="40"/>
        <v>451984.46038192161</v>
      </c>
      <c r="V44" s="47">
        <f t="shared" si="40"/>
        <v>475194.27886777848</v>
      </c>
      <c r="W44" s="47">
        <f t="shared" si="40"/>
        <v>500143.0119021018</v>
      </c>
      <c r="X44" s="47">
        <f t="shared" si="40"/>
        <v>527806.37810886558</v>
      </c>
      <c r="Y44" s="47">
        <f t="shared" si="40"/>
        <v>558529.29602565384</v>
      </c>
      <c r="Z44" s="47">
        <f t="shared" si="40"/>
        <v>590794.1522788197</v>
      </c>
      <c r="AA44" s="47">
        <f t="shared" si="40"/>
        <v>624247.8074589367</v>
      </c>
      <c r="AB44" s="47">
        <f t="shared" si="40"/>
        <v>661563.40407605981</v>
      </c>
      <c r="AC44" s="47">
        <f t="shared" si="40"/>
        <v>700017.00019400334</v>
      </c>
      <c r="AD44" s="47">
        <f t="shared" si="40"/>
        <v>741430.93972576165</v>
      </c>
      <c r="AE44" s="47">
        <f t="shared" si="40"/>
        <v>783525.40125996515</v>
      </c>
      <c r="AF44" s="47">
        <f t="shared" si="40"/>
        <v>826154.81762221747</v>
      </c>
      <c r="AG44" s="47">
        <f t="shared" si="40"/>
        <v>873402.54532469204</v>
      </c>
      <c r="AH44" s="47">
        <f t="shared" si="40"/>
        <v>917422.31516460003</v>
      </c>
      <c r="AI44" s="47">
        <f t="shared" si="40"/>
        <v>966932.64200340398</v>
      </c>
      <c r="AJ44" s="47">
        <f t="shared" si="40"/>
        <v>1011402.137559609</v>
      </c>
    </row>
    <row r="45" spans="1:521" x14ac:dyDescent="0.2">
      <c r="A45" s="46" t="s">
        <v>28</v>
      </c>
      <c r="B45" s="46"/>
      <c r="C45" s="47">
        <f>VLOOKUP(C44,'Tax Table'!$B$5:$E$11,4,TRUE)+(C44-VLOOKUP(C44,'Tax Table'!$B$5:$E$11,1,TRUE))*VLOOKUP(C44,'Tax Table'!$B$5:$E$11,3,TRUE)</f>
        <v>18746.7</v>
      </c>
      <c r="D45" s="47">
        <f>VLOOKUP(D44,'Tax Table'!$B$5:$E$11,4,TRUE)+(D44-VLOOKUP(D44,'Tax Table'!$B$5:$E$11,1,TRUE))*VLOOKUP(D44,'Tax Table'!$B$5:$E$11,3,TRUE)</f>
        <v>18746.7</v>
      </c>
      <c r="E45" s="47">
        <f>VLOOKUP(E44,'Tax Table'!$B$5:$E$11,4,TRUE)+(E44-VLOOKUP(E44,'Tax Table'!$B$5:$E$11,1,TRUE))*VLOOKUP(E44,'Tax Table'!$B$5:$E$11,3,TRUE)</f>
        <v>18746.7</v>
      </c>
      <c r="F45" s="47">
        <f>VLOOKUP(F44,'Tax Table'!$B$5:$E$11,4,TRUE)+(F44-VLOOKUP(F44,'Tax Table'!$B$5:$E$11,1,TRUE))*VLOOKUP(F44,'Tax Table'!$B$5:$E$11,3,TRUE)</f>
        <v>18746.7</v>
      </c>
      <c r="G45" s="47">
        <f>VLOOKUP(G44,'Tax Table'!$B$5:$E$11,4,TRUE)+(G44-VLOOKUP(G44,'Tax Table'!$B$5:$E$11,1,TRUE))*VLOOKUP(G44,'Tax Table'!$B$5:$E$11,3,TRUE)</f>
        <v>18746.7</v>
      </c>
      <c r="H45" s="47">
        <f>VLOOKUP(H44,'Tax Table'!$B$5:$E$11,4,TRUE)+(H44-VLOOKUP(H44,'Tax Table'!$B$5:$E$11,1,TRUE))*VLOOKUP(H44,'Tax Table'!$B$5:$E$11,3,TRUE)</f>
        <v>18746.7</v>
      </c>
      <c r="I45" s="47">
        <f>VLOOKUP(I44,'Tax Table'!$B$5:$E$11,4,TRUE)+(I44-VLOOKUP(I44,'Tax Table'!$B$5:$E$11,1,TRUE))*VLOOKUP(I44,'Tax Table'!$B$5:$E$11,3,TRUE)</f>
        <v>18746.7</v>
      </c>
      <c r="J45" s="67">
        <f>VLOOKUP(J44,'Tax Table'!$B$5:$E$11,4,TRUE)+(J44-VLOOKUP(J44,'Tax Table'!$B$5:$E$11,1,TRUE))*VLOOKUP(J44,'Tax Table'!$B$5:$E$11,3,TRUE)</f>
        <v>11538.199999999999</v>
      </c>
      <c r="K45" s="100">
        <f>VLOOKUP(K44,'Tax Table'!$B$5:$E$11,4,TRUE)+(K44-VLOOKUP(K44,'Tax Table'!$B$5:$E$11,1,TRUE))*VLOOKUP(K44,'Tax Table'!$B$5:$E$11,3,TRUE)</f>
        <v>82047.759999999995</v>
      </c>
      <c r="L45" s="47">
        <f>VLOOKUP(L44,'Tax Table'!$B$5:$E$11,4,TRUE)+(L44-VLOOKUP(L44,'Tax Table'!$B$5:$E$11,1,TRUE))*VLOOKUP(L44,'Tax Table'!$B$5:$E$11,3,TRUE)</f>
        <v>82047.759999999995</v>
      </c>
      <c r="M45" s="47">
        <f>VLOOKUP(M44,'Tax Table'!$B$5:$E$11,4,TRUE)+(M44-VLOOKUP(M44,'Tax Table'!$B$5:$E$11,1,TRUE))*VLOOKUP(M44,'Tax Table'!$B$5:$E$11,3,TRUE)</f>
        <v>82047.759999999995</v>
      </c>
      <c r="N45" s="47">
        <f>VLOOKUP(N44,'Tax Table'!$B$5:$E$11,4,TRUE)+(N44-VLOOKUP(N44,'Tax Table'!$B$5:$E$11,1,TRUE))*VLOOKUP(N44,'Tax Table'!$B$5:$E$11,3,TRUE)</f>
        <v>82047.759999999995</v>
      </c>
      <c r="O45" s="47">
        <f>VLOOKUP(O44,'Tax Table'!$B$5:$E$11,4,TRUE)+(O44-VLOOKUP(O44,'Tax Table'!$B$5:$E$11,1,TRUE))*VLOOKUP(O44,'Tax Table'!$B$5:$E$11,3,TRUE)</f>
        <v>82047.759999999995</v>
      </c>
      <c r="P45" s="47">
        <f>VLOOKUP(P44,'Tax Table'!$B$5:$E$11,4,TRUE)+(P44-VLOOKUP(P44,'Tax Table'!$B$5:$E$11,1,TRUE))*VLOOKUP(P44,'Tax Table'!$B$5:$E$11,3,TRUE)</f>
        <v>82047.759999999995</v>
      </c>
      <c r="Q45" s="47">
        <f>VLOOKUP(Q44,'Tax Table'!$B$5:$E$11,4,TRUE)+(Q44-VLOOKUP(Q44,'Tax Table'!$B$5:$E$11,1,TRUE))*VLOOKUP(Q44,'Tax Table'!$B$5:$E$11,3,TRUE)</f>
        <v>82047.759999999995</v>
      </c>
      <c r="R45" s="101">
        <f>VLOOKUP(R44,'Tax Table'!$B$5:$E$11,4,TRUE)+(R44-VLOOKUP(R44,'Tax Table'!$B$5:$E$11,1,TRUE))*VLOOKUP(R44,'Tax Table'!$B$5:$E$11,3,TRUE)</f>
        <v>52733.512959121959</v>
      </c>
      <c r="S45" s="75">
        <f>VLOOKUP(S44,'Tax Table'!$B$5:$E$11,4,TRUE)+(S44-VLOOKUP(S44,'Tax Table'!$B$5:$E$11,1,TRUE))*VLOOKUP(S44,'Tax Table'!$B$5:$E$11,3,TRUE)</f>
        <v>91680.59859224438</v>
      </c>
      <c r="T45" s="47">
        <f>VLOOKUP(T44,'Tax Table'!$B$5:$E$11,4,TRUE)+(T44-VLOOKUP(T44,'Tax Table'!$B$5:$E$11,1,TRUE))*VLOOKUP(T44,'Tax Table'!$B$5:$E$11,3,TRUE)</f>
        <v>90698.867121826304</v>
      </c>
      <c r="U45" s="47">
        <f>VLOOKUP(U44,'Tax Table'!$B$5:$E$11,4,TRUE)+(U44-VLOOKUP(U44,'Tax Table'!$B$5:$E$11,1,TRUE))*VLOOKUP(U44,'Tax Table'!$B$5:$E$11,3,TRUE)</f>
        <v>97546.707322214919</v>
      </c>
      <c r="V45" s="47">
        <f>VLOOKUP(V44,'Tax Table'!$B$5:$E$11,4,TRUE)+(V44-VLOOKUP(V44,'Tax Table'!$B$5:$E$11,1,TRUE))*VLOOKUP(V44,'Tax Table'!$B$5:$E$11,3,TRUE)</f>
        <v>104973.84923768911</v>
      </c>
      <c r="W45" s="47">
        <f>VLOOKUP(W44,'Tax Table'!$B$5:$E$11,4,TRUE)+(W44-VLOOKUP(W44,'Tax Table'!$B$5:$E$11,1,TRUE))*VLOOKUP(W44,'Tax Table'!$B$5:$E$11,3,TRUE)</f>
        <v>112957.44380867257</v>
      </c>
      <c r="X45" s="47">
        <f>VLOOKUP(X44,'Tax Table'!$B$5:$E$11,4,TRUE)+(X44-VLOOKUP(X44,'Tax Table'!$B$5:$E$11,1,TRUE))*VLOOKUP(X44,'Tax Table'!$B$5:$E$11,3,TRUE)</f>
        <v>122270.38233810295</v>
      </c>
      <c r="Y45" s="47">
        <f>VLOOKUP(Y44,'Tax Table'!$B$5:$E$11,4,TRUE)+(Y44-VLOOKUP(Y44,'Tax Table'!$B$5:$E$11,1,TRUE))*VLOOKUP(Y44,'Tax Table'!$B$5:$E$11,3,TRUE)</f>
        <v>133023.40360897884</v>
      </c>
      <c r="Z45" s="47">
        <f>VLOOKUP(Z44,'Tax Table'!$B$5:$E$11,4,TRUE)+(Z44-VLOOKUP(Z44,'Tax Table'!$B$5:$E$11,1,TRUE))*VLOOKUP(Z44,'Tax Table'!$B$5:$E$11,3,TRUE)</f>
        <v>144316.1032975869</v>
      </c>
      <c r="AA45" s="47">
        <f>VLOOKUP(AA44,'Tax Table'!$B$5:$E$11,4,TRUE)+(AA44-VLOOKUP(AA44,'Tax Table'!$B$5:$E$11,1,TRUE))*VLOOKUP(AA44,'Tax Table'!$B$5:$E$11,3,TRUE)</f>
        <v>156024.88261062786</v>
      </c>
      <c r="AB45" s="47">
        <f>VLOOKUP(AB44,'Tax Table'!$B$5:$E$11,4,TRUE)+(AB44-VLOOKUP(AB44,'Tax Table'!$B$5:$E$11,1,TRUE))*VLOOKUP(AB44,'Tax Table'!$B$5:$E$11,3,TRUE)</f>
        <v>169085.34142662093</v>
      </c>
      <c r="AC45" s="47">
        <f>VLOOKUP(AC44,'Tax Table'!$B$5:$E$11,4,TRUE)+(AC44-VLOOKUP(AC44,'Tax Table'!$B$5:$E$11,1,TRUE))*VLOOKUP(AC44,'Tax Table'!$B$5:$E$11,3,TRUE)</f>
        <v>182544.10006790116</v>
      </c>
      <c r="AD45" s="47">
        <f>VLOOKUP(AD44,'Tax Table'!$B$5:$E$11,4,TRUE)+(AD44-VLOOKUP(AD44,'Tax Table'!$B$5:$E$11,1,TRUE))*VLOOKUP(AD44,'Tax Table'!$B$5:$E$11,3,TRUE)</f>
        <v>197038.97890401658</v>
      </c>
      <c r="AE45" s="47">
        <f>VLOOKUP(AE44,'Tax Table'!$B$5:$E$11,4,TRUE)+(AE44-VLOOKUP(AE44,'Tax Table'!$B$5:$E$11,1,TRUE))*VLOOKUP(AE44,'Tax Table'!$B$5:$E$11,3,TRUE)</f>
        <v>212068.5284661871</v>
      </c>
      <c r="AF45" s="47">
        <f>VLOOKUP(AF44,'Tax Table'!$B$5:$E$11,4,TRUE)+(AF44-VLOOKUP(AF44,'Tax Table'!$B$5:$E$11,1,TRUE))*VLOOKUP(AF44,'Tax Table'!$B$5:$E$11,3,TRUE)</f>
        <v>227841.41252022047</v>
      </c>
      <c r="AG45" s="47">
        <f>VLOOKUP(AG44,'Tax Table'!$B$5:$E$11,4,TRUE)+(AG44-VLOOKUP(AG44,'Tax Table'!$B$5:$E$11,1,TRUE))*VLOOKUP(AG44,'Tax Table'!$B$5:$E$11,3,TRUE)</f>
        <v>245323.07177013607</v>
      </c>
      <c r="AH45" s="47">
        <f>VLOOKUP(AH44,'Tax Table'!$B$5:$E$11,4,TRUE)+(AH44-VLOOKUP(AH44,'Tax Table'!$B$5:$E$11,1,TRUE))*VLOOKUP(AH44,'Tax Table'!$B$5:$E$11,3,TRUE)</f>
        <v>261610.386610902</v>
      </c>
      <c r="AI45" s="47">
        <f>VLOOKUP(AI44,'Tax Table'!$B$5:$E$11,4,TRUE)+(AI44-VLOOKUP(AI44,'Tax Table'!$B$5:$E$11,1,TRUE))*VLOOKUP(AI44,'Tax Table'!$B$5:$E$11,3,TRUE)</f>
        <v>279929.20754125947</v>
      </c>
      <c r="AJ45" s="47">
        <f>VLOOKUP(AJ44,'Tax Table'!$B$5:$E$11,4,TRUE)+(AJ44-VLOOKUP(AJ44,'Tax Table'!$B$5:$E$11,1,TRUE))*VLOOKUP(AJ44,'Tax Table'!$B$5:$E$11,3,TRUE)</f>
        <v>296382.9208970553</v>
      </c>
    </row>
    <row r="46" spans="1:521" x14ac:dyDescent="0.2">
      <c r="A46" s="46" t="s">
        <v>24</v>
      </c>
      <c r="B46" s="46"/>
      <c r="C46" s="48">
        <f>VLOOKUP(C44,'Tax Table'!$B$5:$E$11,3,TRUE)</f>
        <v>0.22</v>
      </c>
      <c r="D46" s="48">
        <f>VLOOKUP(D44,'Tax Table'!$B$5:$E$11,3,TRUE)</f>
        <v>0.22</v>
      </c>
      <c r="E46" s="48">
        <f>VLOOKUP(E44,'Tax Table'!$B$5:$E$11,3,TRUE)</f>
        <v>0.22</v>
      </c>
      <c r="F46" s="48">
        <f>VLOOKUP(F44,'Tax Table'!$B$5:$E$11,3,TRUE)</f>
        <v>0.22</v>
      </c>
      <c r="G46" s="48">
        <f>VLOOKUP(G44,'Tax Table'!$B$5:$E$11,3,TRUE)</f>
        <v>0.22</v>
      </c>
      <c r="H46" s="48">
        <f>VLOOKUP(H44,'Tax Table'!$B$5:$E$11,3,TRUE)</f>
        <v>0.22</v>
      </c>
      <c r="I46" s="48">
        <f>VLOOKUP(I44,'Tax Table'!$B$5:$E$11,3,TRUE)</f>
        <v>0.22</v>
      </c>
      <c r="J46" s="68">
        <f>VLOOKUP(J44,'Tax Table'!$B$5:$E$11,3,TRUE)</f>
        <v>0.12</v>
      </c>
      <c r="K46" s="102">
        <f>VLOOKUP(K44,'Tax Table'!$B$5:$E$11,3,TRUE)</f>
        <v>0.24</v>
      </c>
      <c r="L46" s="48">
        <f>VLOOKUP(L44,'Tax Table'!$B$5:$E$11,3,TRUE)</f>
        <v>0.24</v>
      </c>
      <c r="M46" s="48">
        <f>VLOOKUP(M44,'Tax Table'!$B$5:$E$11,3,TRUE)</f>
        <v>0.24</v>
      </c>
      <c r="N46" s="48">
        <f>VLOOKUP(N44,'Tax Table'!$B$5:$E$11,3,TRUE)</f>
        <v>0.24</v>
      </c>
      <c r="O46" s="48">
        <f>VLOOKUP(O44,'Tax Table'!$B$5:$E$11,3,TRUE)</f>
        <v>0.24</v>
      </c>
      <c r="P46" s="48">
        <f>VLOOKUP(P44,'Tax Table'!$B$5:$E$11,3,TRUE)</f>
        <v>0.24</v>
      </c>
      <c r="Q46" s="48">
        <f>VLOOKUP(Q44,'Tax Table'!$B$5:$E$11,3,TRUE)</f>
        <v>0.24</v>
      </c>
      <c r="R46" s="103">
        <f>VLOOKUP(R44,'Tax Table'!$B$5:$E$11,3,TRUE)</f>
        <v>0.24</v>
      </c>
      <c r="S46" s="76">
        <f>VLOOKUP(S44,'Tax Table'!$B$5:$E$11,3,TRUE)</f>
        <v>0.32</v>
      </c>
      <c r="T46" s="48">
        <f>VLOOKUP(T44,'Tax Table'!$B$5:$E$11,3,TRUE)</f>
        <v>0.32</v>
      </c>
      <c r="U46" s="48">
        <f>VLOOKUP(U44,'Tax Table'!$B$5:$E$11,3,TRUE)</f>
        <v>0.32</v>
      </c>
      <c r="V46" s="48">
        <f>VLOOKUP(V44,'Tax Table'!$B$5:$E$11,3,TRUE)</f>
        <v>0.32</v>
      </c>
      <c r="W46" s="48">
        <f>VLOOKUP(W44,'Tax Table'!$B$5:$E$11,3,TRUE)</f>
        <v>0.32</v>
      </c>
      <c r="X46" s="48">
        <f>VLOOKUP(X44,'Tax Table'!$B$5:$E$11,3,TRUE)</f>
        <v>0.35</v>
      </c>
      <c r="Y46" s="48">
        <f>VLOOKUP(Y44,'Tax Table'!$B$5:$E$11,3,TRUE)</f>
        <v>0.35</v>
      </c>
      <c r="Z46" s="48">
        <f>VLOOKUP(Z44,'Tax Table'!$B$5:$E$11,3,TRUE)</f>
        <v>0.35</v>
      </c>
      <c r="AA46" s="48">
        <f>VLOOKUP(AA44,'Tax Table'!$B$5:$E$11,3,TRUE)</f>
        <v>0.35</v>
      </c>
      <c r="AB46" s="48">
        <f>VLOOKUP(AB44,'Tax Table'!$B$5:$E$11,3,TRUE)</f>
        <v>0.35</v>
      </c>
      <c r="AC46" s="48">
        <f>VLOOKUP(AC44,'Tax Table'!$B$5:$E$11,3,TRUE)</f>
        <v>0.35</v>
      </c>
      <c r="AD46" s="48">
        <f>VLOOKUP(AD44,'Tax Table'!$B$5:$E$11,3,TRUE)</f>
        <v>0.35</v>
      </c>
      <c r="AE46" s="48">
        <f>VLOOKUP(AE44,'Tax Table'!$B$5:$E$11,3,TRUE)</f>
        <v>0.37</v>
      </c>
      <c r="AF46" s="48">
        <f>VLOOKUP(AF44,'Tax Table'!$B$5:$E$11,3,TRUE)</f>
        <v>0.37</v>
      </c>
      <c r="AG46" s="48">
        <f>VLOOKUP(AG44,'Tax Table'!$B$5:$E$11,3,TRUE)</f>
        <v>0.37</v>
      </c>
      <c r="AH46" s="48">
        <f>VLOOKUP(AH44,'Tax Table'!$B$5:$E$11,3,TRUE)</f>
        <v>0.37</v>
      </c>
      <c r="AI46" s="48">
        <f>VLOOKUP(AI44,'Tax Table'!$B$5:$E$11,3,TRUE)</f>
        <v>0.37</v>
      </c>
      <c r="AJ46" s="48">
        <f>VLOOKUP(AJ44,'Tax Table'!$B$5:$E$11,3,TRUE)</f>
        <v>0.37</v>
      </c>
    </row>
    <row r="47" spans="1:521" x14ac:dyDescent="0.2">
      <c r="A47" s="46" t="s">
        <v>30</v>
      </c>
      <c r="B47" s="46"/>
      <c r="C47" s="48">
        <f>C45/C44</f>
        <v>0.14065018081418904</v>
      </c>
      <c r="D47" s="48">
        <f t="shared" ref="D47:AJ47" si="41">D45/D44</f>
        <v>0.14065018081418904</v>
      </c>
      <c r="E47" s="48">
        <f t="shared" si="41"/>
        <v>0.14065018081418904</v>
      </c>
      <c r="F47" s="48">
        <f t="shared" si="41"/>
        <v>0.14065018081418904</v>
      </c>
      <c r="G47" s="48">
        <f t="shared" si="41"/>
        <v>0.14065018081418904</v>
      </c>
      <c r="H47" s="48">
        <f t="shared" si="41"/>
        <v>0.14065018081418904</v>
      </c>
      <c r="I47" s="48">
        <f t="shared" si="41"/>
        <v>0.14065018081418904</v>
      </c>
      <c r="J47" s="68">
        <f t="shared" si="41"/>
        <v>0.11505294856709809</v>
      </c>
      <c r="K47" s="102">
        <f t="shared" si="41"/>
        <v>0.20331497955643663</v>
      </c>
      <c r="L47" s="48">
        <f t="shared" si="41"/>
        <v>0.20331497955643663</v>
      </c>
      <c r="M47" s="48">
        <f t="shared" si="41"/>
        <v>0.20331497955643663</v>
      </c>
      <c r="N47" s="48">
        <f t="shared" si="41"/>
        <v>0.20331497955643663</v>
      </c>
      <c r="O47" s="48">
        <f t="shared" si="41"/>
        <v>0.20331497955643663</v>
      </c>
      <c r="P47" s="48">
        <f t="shared" si="41"/>
        <v>0.20331497955643663</v>
      </c>
      <c r="Q47" s="48">
        <f t="shared" si="41"/>
        <v>0.20331497955643663</v>
      </c>
      <c r="R47" s="103">
        <f t="shared" si="41"/>
        <v>0.18739212596915231</v>
      </c>
      <c r="S47" s="76">
        <f t="shared" si="41"/>
        <v>0.21141471625734679</v>
      </c>
      <c r="T47" s="48">
        <f t="shared" si="41"/>
        <v>0.2106410478742323</v>
      </c>
      <c r="U47" s="48">
        <f t="shared" si="41"/>
        <v>0.2158187191652321</v>
      </c>
      <c r="V47" s="48">
        <f t="shared" si="41"/>
        <v>0.22090722448890804</v>
      </c>
      <c r="W47" s="48">
        <f t="shared" si="41"/>
        <v>0.22585028905848814</v>
      </c>
      <c r="X47" s="48">
        <f t="shared" si="41"/>
        <v>0.23165764456314206</v>
      </c>
      <c r="Y47" s="48">
        <f t="shared" si="41"/>
        <v>0.23816728067003479</v>
      </c>
      <c r="Z47" s="48">
        <f t="shared" si="41"/>
        <v>0.24427476599239981</v>
      </c>
      <c r="AA47" s="48">
        <f t="shared" si="41"/>
        <v>0.24994061772638462</v>
      </c>
      <c r="AB47" s="48">
        <f t="shared" si="41"/>
        <v>0.25558448424571745</v>
      </c>
      <c r="AC47" s="48">
        <f t="shared" si="41"/>
        <v>0.26077095273016332</v>
      </c>
      <c r="AD47" s="48">
        <f t="shared" si="41"/>
        <v>0.26575499934882241</v>
      </c>
      <c r="AE47" s="48">
        <f t="shared" si="41"/>
        <v>0.27065941719970488</v>
      </c>
      <c r="AF47" s="48">
        <f t="shared" si="41"/>
        <v>0.27578537056284208</v>
      </c>
      <c r="AG47" s="48">
        <f t="shared" si="41"/>
        <v>0.28088202064826351</v>
      </c>
      <c r="AH47" s="48">
        <f t="shared" si="41"/>
        <v>0.2851580807296637</v>
      </c>
      <c r="AI47" s="48">
        <f t="shared" si="41"/>
        <v>0.28950228318000459</v>
      </c>
      <c r="AJ47" s="48">
        <f t="shared" si="41"/>
        <v>0.29304162003472867</v>
      </c>
    </row>
    <row r="48" spans="1:521" x14ac:dyDescent="0.2">
      <c r="A48" s="46" t="s">
        <v>29</v>
      </c>
      <c r="B48" s="46"/>
      <c r="C48" s="49">
        <f>0.055*C44</f>
        <v>7330.7300000000005</v>
      </c>
      <c r="D48" s="49">
        <f t="shared" ref="D48:G48" si="42">0.055*D44</f>
        <v>7330.7300000000005</v>
      </c>
      <c r="E48" s="49">
        <f t="shared" si="42"/>
        <v>7330.7300000000005</v>
      </c>
      <c r="F48" s="49">
        <f t="shared" si="42"/>
        <v>7330.7300000000005</v>
      </c>
      <c r="G48" s="49">
        <f t="shared" si="42"/>
        <v>7330.7300000000005</v>
      </c>
      <c r="H48" s="49">
        <f>0.06*H44</f>
        <v>7997.16</v>
      </c>
      <c r="I48" s="49">
        <f t="shared" ref="I48:AJ48" si="43">0.06*I44</f>
        <v>7997.16</v>
      </c>
      <c r="J48" s="69">
        <f t="shared" si="43"/>
        <v>6017.16</v>
      </c>
      <c r="K48" s="104">
        <f t="shared" si="43"/>
        <v>24213</v>
      </c>
      <c r="L48" s="49">
        <f t="shared" si="43"/>
        <v>24213</v>
      </c>
      <c r="M48" s="49">
        <f t="shared" si="43"/>
        <v>24213</v>
      </c>
      <c r="N48" s="49">
        <f t="shared" si="43"/>
        <v>24213</v>
      </c>
      <c r="O48" s="49">
        <f t="shared" si="43"/>
        <v>24213</v>
      </c>
      <c r="P48" s="49">
        <f t="shared" si="43"/>
        <v>24213</v>
      </c>
      <c r="Q48" s="49">
        <f t="shared" si="43"/>
        <v>24213</v>
      </c>
      <c r="R48" s="105">
        <f t="shared" si="43"/>
        <v>16884.438239780487</v>
      </c>
      <c r="S48" s="77">
        <f t="shared" si="43"/>
        <v>26019.172236045823</v>
      </c>
      <c r="T48" s="49">
        <f t="shared" si="43"/>
        <v>25835.097585342432</v>
      </c>
      <c r="U48" s="49">
        <f t="shared" si="43"/>
        <v>27119.067622915296</v>
      </c>
      <c r="V48" s="49">
        <f t="shared" si="43"/>
        <v>28511.656732066709</v>
      </c>
      <c r="W48" s="49">
        <f t="shared" si="43"/>
        <v>30008.580714126107</v>
      </c>
      <c r="X48" s="49">
        <f t="shared" si="43"/>
        <v>31668.382686531935</v>
      </c>
      <c r="Y48" s="49">
        <f t="shared" si="43"/>
        <v>33511.757761539229</v>
      </c>
      <c r="Z48" s="49">
        <f t="shared" si="43"/>
        <v>35447.649136729182</v>
      </c>
      <c r="AA48" s="49">
        <f t="shared" si="43"/>
        <v>37454.868447536202</v>
      </c>
      <c r="AB48" s="49">
        <f t="shared" si="43"/>
        <v>39693.804244563587</v>
      </c>
      <c r="AC48" s="49">
        <f t="shared" si="43"/>
        <v>42001.020011640197</v>
      </c>
      <c r="AD48" s="49">
        <f t="shared" si="43"/>
        <v>44485.856383545695</v>
      </c>
      <c r="AE48" s="49">
        <f t="shared" si="43"/>
        <v>47011.52407559791</v>
      </c>
      <c r="AF48" s="49">
        <f t="shared" si="43"/>
        <v>49569.289057333044</v>
      </c>
      <c r="AG48" s="49">
        <f t="shared" si="43"/>
        <v>52404.152719481521</v>
      </c>
      <c r="AH48" s="49">
        <f t="shared" si="43"/>
        <v>55045.338909876002</v>
      </c>
      <c r="AI48" s="49">
        <f t="shared" si="43"/>
        <v>58015.958520204236</v>
      </c>
      <c r="AJ48" s="49">
        <f t="shared" si="43"/>
        <v>60684.128253576542</v>
      </c>
    </row>
    <row r="49" spans="1:36" ht="17" thickBot="1" x14ac:dyDescent="0.25">
      <c r="A49" s="46" t="s">
        <v>31</v>
      </c>
      <c r="B49" s="46"/>
      <c r="C49" s="48">
        <f>(C48+C45)/C44</f>
        <v>0.19565018081418903</v>
      </c>
      <c r="D49" s="48">
        <f t="shared" ref="D49:AJ49" si="44">(D48+D45)/D44</f>
        <v>0.19565018081418903</v>
      </c>
      <c r="E49" s="48">
        <f t="shared" si="44"/>
        <v>0.19565018081418903</v>
      </c>
      <c r="F49" s="48">
        <f t="shared" si="44"/>
        <v>0.19565018081418903</v>
      </c>
      <c r="G49" s="48">
        <f t="shared" si="44"/>
        <v>0.19565018081418903</v>
      </c>
      <c r="H49" s="48">
        <f t="shared" si="44"/>
        <v>0.20065018081418903</v>
      </c>
      <c r="I49" s="48">
        <f t="shared" si="44"/>
        <v>0.20065018081418903</v>
      </c>
      <c r="J49" s="68">
        <f t="shared" si="44"/>
        <v>0.1750529485670981</v>
      </c>
      <c r="K49" s="106">
        <f t="shared" si="44"/>
        <v>0.26331497955643662</v>
      </c>
      <c r="L49" s="107">
        <f t="shared" si="44"/>
        <v>0.26331497955643662</v>
      </c>
      <c r="M49" s="107">
        <f t="shared" si="44"/>
        <v>0.26331497955643662</v>
      </c>
      <c r="N49" s="107">
        <f t="shared" si="44"/>
        <v>0.26331497955643662</v>
      </c>
      <c r="O49" s="107">
        <f t="shared" si="44"/>
        <v>0.26331497955643662</v>
      </c>
      <c r="P49" s="107">
        <f t="shared" si="44"/>
        <v>0.26331497955643662</v>
      </c>
      <c r="Q49" s="107">
        <f t="shared" si="44"/>
        <v>0.26331497955643662</v>
      </c>
      <c r="R49" s="108">
        <f t="shared" si="44"/>
        <v>0.2473921259691523</v>
      </c>
      <c r="S49" s="76">
        <f t="shared" si="44"/>
        <v>0.27141471625734676</v>
      </c>
      <c r="T49" s="48">
        <f t="shared" si="44"/>
        <v>0.27064104787423232</v>
      </c>
      <c r="U49" s="48">
        <f t="shared" si="44"/>
        <v>0.27581871916523215</v>
      </c>
      <c r="V49" s="48">
        <f t="shared" si="44"/>
        <v>0.28090722448890804</v>
      </c>
      <c r="W49" s="48">
        <f t="shared" si="44"/>
        <v>0.28585028905848819</v>
      </c>
      <c r="X49" s="48">
        <f t="shared" si="44"/>
        <v>0.29165764456314208</v>
      </c>
      <c r="Y49" s="48">
        <f t="shared" si="44"/>
        <v>0.29816728067003478</v>
      </c>
      <c r="Z49" s="48">
        <f t="shared" si="44"/>
        <v>0.30427476599239983</v>
      </c>
      <c r="AA49" s="48">
        <f t="shared" si="44"/>
        <v>0.30994061772638465</v>
      </c>
      <c r="AB49" s="48">
        <f t="shared" si="44"/>
        <v>0.3155844842457175</v>
      </c>
      <c r="AC49" s="48">
        <f t="shared" si="44"/>
        <v>0.32077095273016326</v>
      </c>
      <c r="AD49" s="48">
        <f t="shared" si="44"/>
        <v>0.3257549993488224</v>
      </c>
      <c r="AE49" s="48">
        <f t="shared" si="44"/>
        <v>0.33065941719970487</v>
      </c>
      <c r="AF49" s="48">
        <f t="shared" si="44"/>
        <v>0.33578537056284208</v>
      </c>
      <c r="AG49" s="48">
        <f t="shared" si="44"/>
        <v>0.34088202064826351</v>
      </c>
      <c r="AH49" s="48">
        <f t="shared" si="44"/>
        <v>0.3451580807296637</v>
      </c>
      <c r="AI49" s="48">
        <f t="shared" si="44"/>
        <v>0.34950228318000459</v>
      </c>
      <c r="AJ49" s="48">
        <f t="shared" si="44"/>
        <v>0.35304162003472861</v>
      </c>
    </row>
    <row r="52" spans="1:36" x14ac:dyDescent="0.2">
      <c r="M52">
        <f>1800000*0.06</f>
        <v>108000</v>
      </c>
    </row>
  </sheetData>
  <pageMargins left="0.7" right="0.7" top="0.75" bottom="0.75" header="0.3" footer="0.3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2ECD-080A-BB40-AF0C-1D78BC62CBC9}">
  <dimension ref="A3:TB41"/>
  <sheetViews>
    <sheetView zoomScale="130" zoomScaleNormal="13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RowHeight="16" x14ac:dyDescent="0.2"/>
  <cols>
    <col min="1" max="1" width="26.5" customWidth="1"/>
    <col min="2" max="2" width="3.1640625" customWidth="1"/>
    <col min="3" max="4" width="11.5" customWidth="1"/>
    <col min="5" max="30" width="12.1640625" customWidth="1"/>
  </cols>
  <sheetData>
    <row r="3" spans="1:522" s="1" customFormat="1" x14ac:dyDescent="0.2">
      <c r="C3" s="1">
        <v>2025</v>
      </c>
      <c r="D3" s="1">
        <v>2026</v>
      </c>
      <c r="E3" s="1">
        <v>2027</v>
      </c>
      <c r="F3" s="1">
        <v>2028</v>
      </c>
      <c r="G3" s="1">
        <v>2029</v>
      </c>
      <c r="H3">
        <v>2030</v>
      </c>
      <c r="I3" s="1">
        <v>2031</v>
      </c>
      <c r="J3" s="1">
        <v>2032</v>
      </c>
      <c r="K3" s="1">
        <v>2033</v>
      </c>
      <c r="L3" s="1">
        <v>2034</v>
      </c>
      <c r="M3" s="1">
        <v>2035</v>
      </c>
      <c r="N3" s="1">
        <v>2036</v>
      </c>
      <c r="O3" s="1">
        <v>2037</v>
      </c>
      <c r="P3" s="1">
        <v>2038</v>
      </c>
      <c r="Q3" s="1">
        <v>2039</v>
      </c>
      <c r="R3" s="1">
        <v>2040</v>
      </c>
      <c r="S3" s="1">
        <v>2041</v>
      </c>
      <c r="T3" s="1">
        <v>2042</v>
      </c>
      <c r="U3" s="1">
        <v>2043</v>
      </c>
      <c r="V3" s="1">
        <v>2044</v>
      </c>
      <c r="W3" s="1">
        <v>2045</v>
      </c>
      <c r="X3" s="1">
        <v>2046</v>
      </c>
      <c r="Y3" s="1">
        <v>2047</v>
      </c>
      <c r="Z3" s="1">
        <v>2048</v>
      </c>
      <c r="AA3" s="1">
        <v>2049</v>
      </c>
      <c r="AB3" s="1">
        <v>2050</v>
      </c>
      <c r="AC3" s="1">
        <v>2051</v>
      </c>
      <c r="AD3" s="1">
        <v>2052</v>
      </c>
    </row>
    <row r="4" spans="1:522" x14ac:dyDescent="0.2">
      <c r="A4" t="s">
        <v>1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  <c r="K4">
        <v>71</v>
      </c>
      <c r="L4">
        <v>72</v>
      </c>
      <c r="M4">
        <v>73</v>
      </c>
      <c r="N4">
        <v>74</v>
      </c>
      <c r="O4">
        <v>75</v>
      </c>
      <c r="P4">
        <v>76</v>
      </c>
      <c r="Q4">
        <v>77</v>
      </c>
      <c r="R4">
        <v>78</v>
      </c>
      <c r="S4">
        <v>79</v>
      </c>
      <c r="T4">
        <v>80</v>
      </c>
      <c r="U4">
        <v>81</v>
      </c>
      <c r="V4">
        <v>82</v>
      </c>
      <c r="W4">
        <v>83</v>
      </c>
      <c r="X4">
        <v>84</v>
      </c>
      <c r="Y4">
        <v>85</v>
      </c>
      <c r="Z4">
        <v>86</v>
      </c>
      <c r="AA4">
        <v>87</v>
      </c>
      <c r="AB4">
        <v>88</v>
      </c>
      <c r="AC4">
        <v>89</v>
      </c>
      <c r="AD4">
        <v>90</v>
      </c>
    </row>
    <row r="5" spans="1:522" x14ac:dyDescent="0.2">
      <c r="A5" t="s">
        <v>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79</v>
      </c>
      <c r="J5">
        <v>80</v>
      </c>
      <c r="K5">
        <v>81</v>
      </c>
      <c r="L5">
        <v>82</v>
      </c>
      <c r="M5">
        <v>83</v>
      </c>
      <c r="N5">
        <v>84</v>
      </c>
      <c r="O5">
        <v>85</v>
      </c>
      <c r="P5">
        <v>86</v>
      </c>
      <c r="Q5">
        <v>87</v>
      </c>
      <c r="R5">
        <v>88</v>
      </c>
      <c r="S5">
        <v>89</v>
      </c>
      <c r="T5">
        <v>90</v>
      </c>
      <c r="U5">
        <v>91</v>
      </c>
      <c r="V5">
        <v>92</v>
      </c>
      <c r="W5">
        <v>93</v>
      </c>
      <c r="X5">
        <v>94</v>
      </c>
      <c r="Y5">
        <v>95</v>
      </c>
      <c r="Z5">
        <v>96</v>
      </c>
      <c r="AA5">
        <v>97</v>
      </c>
      <c r="AB5">
        <v>98</v>
      </c>
      <c r="AC5">
        <v>99</v>
      </c>
      <c r="AD5">
        <v>100</v>
      </c>
    </row>
    <row r="7" spans="1:522" x14ac:dyDescent="0.2">
      <c r="A7" s="18" t="s">
        <v>0</v>
      </c>
      <c r="B7" s="19"/>
    </row>
    <row r="8" spans="1:522" s="4" customFormat="1" x14ac:dyDescent="0.2">
      <c r="A8" s="16" t="s">
        <v>3</v>
      </c>
      <c r="B8" s="16"/>
      <c r="C8" s="17">
        <f>'Current Distribution with Roth'!H9-'Current Distribution'!H9</f>
        <v>0</v>
      </c>
      <c r="D8" s="17">
        <f>'Current Distribution with Roth'!I9-'Current Distribution'!I9</f>
        <v>0</v>
      </c>
      <c r="E8" s="17">
        <f>'Current Distribution with Roth'!J9-'Current Distribution'!J9</f>
        <v>0</v>
      </c>
      <c r="F8" s="17">
        <f>'Current Distribution with Roth'!K9-'Current Distribution'!K9</f>
        <v>0</v>
      </c>
      <c r="G8" s="17">
        <f>'Current Distribution with Roth'!L9-'Current Distribution'!L9</f>
        <v>0</v>
      </c>
      <c r="H8" s="17">
        <f>'Current Distribution with Roth'!M9-'Current Distribution'!M9</f>
        <v>0</v>
      </c>
      <c r="I8" s="17">
        <f>'Current Distribution with Roth'!N9-'Current Distribution'!N9</f>
        <v>0</v>
      </c>
      <c r="J8" s="17">
        <f>'Current Distribution with Roth'!O9-'Current Distribution'!O9</f>
        <v>0</v>
      </c>
      <c r="K8" s="17">
        <f>'Current Distribution with Roth'!P9-'Current Distribution'!P9</f>
        <v>0</v>
      </c>
      <c r="L8" s="17">
        <f>'Current Distribution with Roth'!Q9-'Current Distribution'!Q9</f>
        <v>0</v>
      </c>
      <c r="M8" s="17">
        <f>'Current Distribution with Roth'!R9-'Current Distribution'!R9</f>
        <v>0</v>
      </c>
      <c r="N8" s="17">
        <f>'Current Distribution with Roth'!S9-'Current Distribution'!S9</f>
        <v>0</v>
      </c>
      <c r="O8" s="17">
        <f>'Current Distribution with Roth'!T9-'Current Distribution'!T9</f>
        <v>0</v>
      </c>
      <c r="P8" s="17">
        <f>'Current Distribution with Roth'!U9-'Current Distribution'!U9</f>
        <v>0</v>
      </c>
      <c r="Q8" s="17">
        <f>'Current Distribution with Roth'!V9-'Current Distribution'!V9</f>
        <v>0</v>
      </c>
      <c r="R8" s="17">
        <f>'Current Distribution with Roth'!W9-'Current Distribution'!W9</f>
        <v>0</v>
      </c>
      <c r="S8" s="17">
        <f>'Current Distribution with Roth'!X9-'Current Distribution'!X9</f>
        <v>0</v>
      </c>
      <c r="T8" s="17">
        <f>'Current Distribution with Roth'!Y9-'Current Distribution'!Y9</f>
        <v>0</v>
      </c>
      <c r="U8" s="17">
        <f>'Current Distribution with Roth'!Z9-'Current Distribution'!Z9</f>
        <v>0</v>
      </c>
      <c r="V8" s="17">
        <f>'Current Distribution with Roth'!AA9-'Current Distribution'!AA9</f>
        <v>0</v>
      </c>
      <c r="W8" s="17">
        <f>'Current Distribution with Roth'!AB9-'Current Distribution'!AB9</f>
        <v>0</v>
      </c>
      <c r="X8" s="17">
        <f>'Current Distribution with Roth'!AC9-'Current Distribution'!AC9</f>
        <v>0</v>
      </c>
      <c r="Y8" s="17">
        <f>'Current Distribution with Roth'!AD9-'Current Distribution'!AD9</f>
        <v>0</v>
      </c>
      <c r="Z8" s="17">
        <f>'Current Distribution with Roth'!AE9-'Current Distribution'!AE9</f>
        <v>0</v>
      </c>
      <c r="AA8" s="17">
        <f>'Current Distribution with Roth'!AF9-'Current Distribution'!AF9</f>
        <v>0</v>
      </c>
      <c r="AB8" s="17">
        <f>'Current Distribution with Roth'!AG9-'Current Distribution'!AG9</f>
        <v>0</v>
      </c>
      <c r="AC8" s="17">
        <f>'Current Distribution with Roth'!AH9-'Current Distribution'!AH9</f>
        <v>0</v>
      </c>
      <c r="AD8" s="17">
        <f>'Current Distribution with Roth'!AI9-'Current Distribution'!AI9</f>
        <v>0</v>
      </c>
      <c r="AE8" s="17"/>
      <c r="AF8" s="17"/>
      <c r="AG8" s="17"/>
      <c r="AH8" s="17"/>
      <c r="AI8" s="17"/>
      <c r="AJ8" s="25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 s="28"/>
    </row>
    <row r="9" spans="1:522" s="4" customFormat="1" x14ac:dyDescent="0.2">
      <c r="A9" s="4" t="s">
        <v>4</v>
      </c>
      <c r="C9" s="5">
        <f>'Current Distribution with Roth'!H10-'Current Distribution'!H10</f>
        <v>0</v>
      </c>
      <c r="D9" s="5">
        <f>'Current Distribution with Roth'!I10-'Current Distribution'!I10</f>
        <v>0</v>
      </c>
      <c r="E9" s="5">
        <f>'Current Distribution with Roth'!J10-'Current Distribution'!J10</f>
        <v>0</v>
      </c>
      <c r="F9" s="5">
        <f>'Current Distribution with Roth'!K10-'Current Distribution'!K10</f>
        <v>0</v>
      </c>
      <c r="G9" s="5">
        <f>'Current Distribution with Roth'!L10-'Current Distribution'!L10</f>
        <v>0</v>
      </c>
      <c r="H9" s="5">
        <f>'Current Distribution with Roth'!M10-'Current Distribution'!M10</f>
        <v>0</v>
      </c>
      <c r="I9" s="5">
        <f>'Current Distribution with Roth'!N10-'Current Distribution'!N10</f>
        <v>0</v>
      </c>
      <c r="J9" s="5">
        <f>'Current Distribution with Roth'!O10-'Current Distribution'!O10</f>
        <v>0</v>
      </c>
      <c r="K9" s="5">
        <f>'Current Distribution with Roth'!P10-'Current Distribution'!P10</f>
        <v>0</v>
      </c>
      <c r="L9" s="5">
        <f>'Current Distribution with Roth'!Q10-'Current Distribution'!Q10</f>
        <v>0</v>
      </c>
      <c r="M9" s="5">
        <f>'Current Distribution with Roth'!R10-'Current Distribution'!R10</f>
        <v>0</v>
      </c>
      <c r="N9" s="5">
        <f>'Current Distribution with Roth'!S10-'Current Distribution'!S10</f>
        <v>0</v>
      </c>
      <c r="O9" s="5">
        <f>'Current Distribution with Roth'!T10-'Current Distribution'!T10</f>
        <v>0</v>
      </c>
      <c r="P9" s="5">
        <f>'Current Distribution with Roth'!U10-'Current Distribution'!U10</f>
        <v>0</v>
      </c>
      <c r="Q9" s="5">
        <f>'Current Distribution with Roth'!V10-'Current Distribution'!V10</f>
        <v>0</v>
      </c>
      <c r="R9" s="5">
        <f>'Current Distribution with Roth'!W10-'Current Distribution'!W10</f>
        <v>0</v>
      </c>
      <c r="S9" s="5">
        <f>'Current Distribution with Roth'!X10-'Current Distribution'!X10</f>
        <v>0</v>
      </c>
      <c r="T9" s="5">
        <f>'Current Distribution with Roth'!Y10-'Current Distribution'!Y10</f>
        <v>0</v>
      </c>
      <c r="U9" s="5">
        <f>'Current Distribution with Roth'!Z10-'Current Distribution'!Z10</f>
        <v>0</v>
      </c>
      <c r="V9" s="5">
        <f>'Current Distribution with Roth'!AA10-'Current Distribution'!AA10</f>
        <v>0</v>
      </c>
      <c r="W9" s="5">
        <f>'Current Distribution with Roth'!AB10-'Current Distribution'!AB10</f>
        <v>0</v>
      </c>
      <c r="X9" s="5">
        <f>'Current Distribution with Roth'!AC10-'Current Distribution'!AC10</f>
        <v>0</v>
      </c>
      <c r="Y9" s="5">
        <f>'Current Distribution with Roth'!AD10-'Current Distribution'!AD10</f>
        <v>0</v>
      </c>
      <c r="Z9" s="5">
        <f>'Current Distribution with Roth'!AE10-'Current Distribution'!AE10</f>
        <v>0</v>
      </c>
      <c r="AA9" s="5">
        <f>'Current Distribution with Roth'!AF10-'Current Distribution'!AF10</f>
        <v>0</v>
      </c>
      <c r="AB9" s="5">
        <f>'Current Distribution with Roth'!AG10-'Current Distribution'!AG10</f>
        <v>0</v>
      </c>
      <c r="AC9" s="5">
        <f>'Current Distribution with Roth'!AH10-'Current Distribution'!AH10</f>
        <v>0</v>
      </c>
      <c r="AD9" s="5">
        <f>'Current Distribution with Roth'!AI10-'Current Distribution'!AI10</f>
        <v>0</v>
      </c>
      <c r="AE9" s="5"/>
      <c r="AF9" s="5"/>
      <c r="AG9" s="5"/>
      <c r="AH9" s="5"/>
      <c r="AI9" s="5"/>
      <c r="AJ9" s="26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28"/>
    </row>
    <row r="10" spans="1:522" s="4" customFormat="1" x14ac:dyDescent="0.2">
      <c r="A10" s="4" t="s">
        <v>5</v>
      </c>
      <c r="C10" s="5">
        <f>'Current Distribution with Roth'!H11-'Current Distribution'!H11</f>
        <v>0</v>
      </c>
      <c r="D10" s="5">
        <f>'Current Distribution with Roth'!I11-'Current Distribution'!I11</f>
        <v>0</v>
      </c>
      <c r="E10" s="5">
        <f>'Current Distribution with Roth'!J11-'Current Distribution'!J11</f>
        <v>0</v>
      </c>
      <c r="F10" s="5">
        <f>'Current Distribution with Roth'!K11-'Current Distribution'!K11</f>
        <v>0</v>
      </c>
      <c r="G10" s="5">
        <f>'Current Distribution with Roth'!L11-'Current Distribution'!L11</f>
        <v>0</v>
      </c>
      <c r="H10" s="5">
        <f>'Current Distribution with Roth'!M11-'Current Distribution'!M11</f>
        <v>0</v>
      </c>
      <c r="I10" s="5">
        <f>'Current Distribution with Roth'!N11-'Current Distribution'!N11</f>
        <v>0</v>
      </c>
      <c r="J10" s="5">
        <f>'Current Distribution with Roth'!O11-'Current Distribution'!O11</f>
        <v>0</v>
      </c>
      <c r="K10" s="5">
        <f>'Current Distribution with Roth'!P11-'Current Distribution'!P11</f>
        <v>0</v>
      </c>
      <c r="L10" s="5">
        <f>'Current Distribution with Roth'!Q11-'Current Distribution'!Q11</f>
        <v>0</v>
      </c>
      <c r="M10" s="5">
        <f>'Current Distribution with Roth'!R11-'Current Distribution'!R11</f>
        <v>0</v>
      </c>
      <c r="N10" s="5">
        <f>'Current Distribution with Roth'!S11-'Current Distribution'!S11</f>
        <v>0</v>
      </c>
      <c r="O10" s="5">
        <f>'Current Distribution with Roth'!T11-'Current Distribution'!T11</f>
        <v>0</v>
      </c>
      <c r="P10" s="5">
        <f>'Current Distribution with Roth'!U11-'Current Distribution'!U11</f>
        <v>0</v>
      </c>
      <c r="Q10" s="5">
        <f>'Current Distribution with Roth'!V11-'Current Distribution'!V11</f>
        <v>0</v>
      </c>
      <c r="R10" s="5">
        <f>'Current Distribution with Roth'!W11-'Current Distribution'!W11</f>
        <v>0</v>
      </c>
      <c r="S10" s="5">
        <f>'Current Distribution with Roth'!X11-'Current Distribution'!X11</f>
        <v>0</v>
      </c>
      <c r="T10" s="5">
        <f>'Current Distribution with Roth'!Y11-'Current Distribution'!Y11</f>
        <v>0</v>
      </c>
      <c r="U10" s="5">
        <f>'Current Distribution with Roth'!Z11-'Current Distribution'!Z11</f>
        <v>0</v>
      </c>
      <c r="V10" s="5">
        <f>'Current Distribution with Roth'!AA11-'Current Distribution'!AA11</f>
        <v>0</v>
      </c>
      <c r="W10" s="5">
        <f>'Current Distribution with Roth'!AB11-'Current Distribution'!AB11</f>
        <v>0</v>
      </c>
      <c r="X10" s="5">
        <f>'Current Distribution with Roth'!AC11-'Current Distribution'!AC11</f>
        <v>0</v>
      </c>
      <c r="Y10" s="5">
        <f>'Current Distribution with Roth'!AD11-'Current Distribution'!AD11</f>
        <v>0</v>
      </c>
      <c r="Z10" s="5">
        <f>'Current Distribution with Roth'!AE11-'Current Distribution'!AE11</f>
        <v>0</v>
      </c>
      <c r="AA10" s="5">
        <f>'Current Distribution with Roth'!AF11-'Current Distribution'!AF11</f>
        <v>0</v>
      </c>
      <c r="AB10" s="5">
        <f>'Current Distribution with Roth'!AG11-'Current Distribution'!AG11</f>
        <v>0</v>
      </c>
      <c r="AC10" s="5">
        <f>'Current Distribution with Roth'!AH11-'Current Distribution'!AH11</f>
        <v>0</v>
      </c>
      <c r="AD10" s="5">
        <f>'Current Distribution with Roth'!AI11-'Current Distribution'!AI11</f>
        <v>0</v>
      </c>
      <c r="AE10" s="5"/>
      <c r="AF10" s="5"/>
      <c r="AG10" s="5"/>
      <c r="AH10" s="5"/>
      <c r="AI10" s="5"/>
      <c r="AJ10" s="26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 s="28"/>
    </row>
    <row r="11" spans="1:522" s="4" customFormat="1" x14ac:dyDescent="0.2">
      <c r="A11" s="4" t="s">
        <v>6</v>
      </c>
      <c r="C11" s="5">
        <f>'Current Distribution with Roth'!H12-'Current Distribution'!H12</f>
        <v>0</v>
      </c>
      <c r="D11" s="5">
        <f>'Current Distribution with Roth'!I12-'Current Distribution'!I12</f>
        <v>0</v>
      </c>
      <c r="E11" s="5">
        <f>'Current Distribution with Roth'!J12-'Current Distribution'!J12</f>
        <v>0</v>
      </c>
      <c r="F11" s="5">
        <f>'Current Distribution with Roth'!K12-'Current Distribution'!K12</f>
        <v>0</v>
      </c>
      <c r="G11" s="5">
        <f>'Current Distribution with Roth'!L12-'Current Distribution'!L12</f>
        <v>0</v>
      </c>
      <c r="H11" s="5">
        <f>'Current Distribution with Roth'!M12-'Current Distribution'!M12</f>
        <v>0</v>
      </c>
      <c r="I11" s="5">
        <f>'Current Distribution with Roth'!N12-'Current Distribution'!N12</f>
        <v>0</v>
      </c>
      <c r="J11" s="5">
        <f>'Current Distribution with Roth'!O12-'Current Distribution'!O12</f>
        <v>0</v>
      </c>
      <c r="K11" s="5">
        <f>'Current Distribution with Roth'!P12-'Current Distribution'!P12</f>
        <v>0</v>
      </c>
      <c r="L11" s="5">
        <f>'Current Distribution with Roth'!Q12-'Current Distribution'!Q12</f>
        <v>0</v>
      </c>
      <c r="M11" s="5">
        <f>'Current Distribution with Roth'!R12-'Current Distribution'!R12</f>
        <v>0</v>
      </c>
      <c r="N11" s="5">
        <f>'Current Distribution with Roth'!S12-'Current Distribution'!S12</f>
        <v>0</v>
      </c>
      <c r="O11" s="5">
        <f>'Current Distribution with Roth'!T12-'Current Distribution'!T12</f>
        <v>0</v>
      </c>
      <c r="P11" s="5">
        <f>'Current Distribution with Roth'!U12-'Current Distribution'!U12</f>
        <v>0</v>
      </c>
      <c r="Q11" s="5">
        <f>'Current Distribution with Roth'!V12-'Current Distribution'!V12</f>
        <v>0</v>
      </c>
      <c r="R11" s="5">
        <f>'Current Distribution with Roth'!W12-'Current Distribution'!W12</f>
        <v>0</v>
      </c>
      <c r="S11" s="5">
        <f>'Current Distribution with Roth'!X12-'Current Distribution'!X12</f>
        <v>0</v>
      </c>
      <c r="T11" s="5">
        <f>'Current Distribution with Roth'!Y12-'Current Distribution'!Y12</f>
        <v>0</v>
      </c>
      <c r="U11" s="5">
        <f>'Current Distribution with Roth'!Z12-'Current Distribution'!Z12</f>
        <v>0</v>
      </c>
      <c r="V11" s="5">
        <f>'Current Distribution with Roth'!AA12-'Current Distribution'!AA12</f>
        <v>0</v>
      </c>
      <c r="W11" s="5">
        <f>'Current Distribution with Roth'!AB12-'Current Distribution'!AB12</f>
        <v>0</v>
      </c>
      <c r="X11" s="5">
        <f>'Current Distribution with Roth'!AC12-'Current Distribution'!AC12</f>
        <v>0</v>
      </c>
      <c r="Y11" s="5">
        <f>'Current Distribution with Roth'!AD12-'Current Distribution'!AD12</f>
        <v>0</v>
      </c>
      <c r="Z11" s="5">
        <f>'Current Distribution with Roth'!AE12-'Current Distribution'!AE12</f>
        <v>0</v>
      </c>
      <c r="AA11" s="5">
        <f>'Current Distribution with Roth'!AF12-'Current Distribution'!AF12</f>
        <v>0</v>
      </c>
      <c r="AB11" s="5">
        <f>'Current Distribution with Roth'!AG12-'Current Distribution'!AG12</f>
        <v>0</v>
      </c>
      <c r="AC11" s="5">
        <f>'Current Distribution with Roth'!AH12-'Current Distribution'!AH12</f>
        <v>0</v>
      </c>
      <c r="AD11" s="5">
        <f>'Current Distribution with Roth'!AI12-'Current Distribution'!AI12</f>
        <v>0</v>
      </c>
      <c r="AE11" s="5"/>
      <c r="AF11" s="5"/>
      <c r="AG11" s="5"/>
      <c r="AH11" s="5"/>
      <c r="AI11" s="5"/>
      <c r="AJ11" s="5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 s="28"/>
    </row>
    <row r="12" spans="1:522" s="7" customFormat="1" x14ac:dyDescent="0.2">
      <c r="A12" s="8" t="s">
        <v>7</v>
      </c>
      <c r="B12" s="8"/>
      <c r="C12" s="9">
        <f>'Current Distribution with Roth'!H13-'Current Distribution'!H13</f>
        <v>0</v>
      </c>
      <c r="D12" s="9">
        <f>'Current Distribution with Roth'!I13-'Current Distribution'!I13</f>
        <v>0</v>
      </c>
      <c r="E12" s="9">
        <f>'Current Distribution with Roth'!J13-'Current Distribution'!J13</f>
        <v>0</v>
      </c>
      <c r="F12" s="9">
        <f>'Current Distribution with Roth'!K13-'Current Distribution'!K13</f>
        <v>0</v>
      </c>
      <c r="G12" s="9">
        <f>'Current Distribution with Roth'!L13-'Current Distribution'!L13</f>
        <v>0</v>
      </c>
      <c r="H12" s="9">
        <f>'Current Distribution with Roth'!M13-'Current Distribution'!M13</f>
        <v>0</v>
      </c>
      <c r="I12" s="9">
        <f>'Current Distribution with Roth'!N13-'Current Distribution'!N13</f>
        <v>0</v>
      </c>
      <c r="J12" s="9">
        <f>'Current Distribution with Roth'!O13-'Current Distribution'!O13</f>
        <v>0</v>
      </c>
      <c r="K12" s="9">
        <f>'Current Distribution with Roth'!P13-'Current Distribution'!P13</f>
        <v>0</v>
      </c>
      <c r="L12" s="9">
        <f>'Current Distribution with Roth'!Q13-'Current Distribution'!Q13</f>
        <v>0</v>
      </c>
      <c r="M12" s="9">
        <f>'Current Distribution with Roth'!R13-'Current Distribution'!R13</f>
        <v>0</v>
      </c>
      <c r="N12" s="9">
        <f>'Current Distribution with Roth'!S13-'Current Distribution'!S13</f>
        <v>0</v>
      </c>
      <c r="O12" s="9">
        <f>'Current Distribution with Roth'!T13-'Current Distribution'!T13</f>
        <v>0</v>
      </c>
      <c r="P12" s="9">
        <f>'Current Distribution with Roth'!U13-'Current Distribution'!U13</f>
        <v>0</v>
      </c>
      <c r="Q12" s="9">
        <f>'Current Distribution with Roth'!V13-'Current Distribution'!V13</f>
        <v>0</v>
      </c>
      <c r="R12" s="9">
        <f>'Current Distribution with Roth'!W13-'Current Distribution'!W13</f>
        <v>0</v>
      </c>
      <c r="S12" s="9">
        <f>'Current Distribution with Roth'!X13-'Current Distribution'!X13</f>
        <v>0</v>
      </c>
      <c r="T12" s="9">
        <f>'Current Distribution with Roth'!Y13-'Current Distribution'!Y13</f>
        <v>0</v>
      </c>
      <c r="U12" s="9">
        <f>'Current Distribution with Roth'!Z13-'Current Distribution'!Z13</f>
        <v>0</v>
      </c>
      <c r="V12" s="9">
        <f>'Current Distribution with Roth'!AA13-'Current Distribution'!AA13</f>
        <v>0</v>
      </c>
      <c r="W12" s="9">
        <f>'Current Distribution with Roth'!AB13-'Current Distribution'!AB13</f>
        <v>0</v>
      </c>
      <c r="X12" s="9">
        <f>'Current Distribution with Roth'!AC13-'Current Distribution'!AC13</f>
        <v>0</v>
      </c>
      <c r="Y12" s="9">
        <f>'Current Distribution with Roth'!AD13-'Current Distribution'!AD13</f>
        <v>0</v>
      </c>
      <c r="Z12" s="9">
        <f>'Current Distribution with Roth'!AE13-'Current Distribution'!AE13</f>
        <v>0</v>
      </c>
      <c r="AA12" s="9">
        <f>'Current Distribution with Roth'!AF13-'Current Distribution'!AF13</f>
        <v>0</v>
      </c>
      <c r="AB12" s="9">
        <f>'Current Distribution with Roth'!AG13-'Current Distribution'!AG13</f>
        <v>0</v>
      </c>
      <c r="AC12" s="9">
        <f>'Current Distribution with Roth'!AH13-'Current Distribution'!AH13</f>
        <v>0</v>
      </c>
      <c r="AD12" s="9">
        <f>'Current Distribution with Roth'!AI13-'Current Distribution'!AI13</f>
        <v>0</v>
      </c>
      <c r="AE12" s="9"/>
      <c r="AF12" s="9"/>
      <c r="AG12" s="9"/>
      <c r="AH12" s="9"/>
      <c r="AI12" s="9"/>
      <c r="AJ12" s="9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29"/>
    </row>
    <row r="13" spans="1:522" s="8" customFormat="1" x14ac:dyDescent="0.2">
      <c r="A13" s="8" t="s">
        <v>8</v>
      </c>
      <c r="C13" s="9">
        <f>'Current Distribution with Roth'!H15-'Current Distribution'!H15</f>
        <v>0</v>
      </c>
      <c r="D13" s="9">
        <f>'Current Distribution with Roth'!I15-'Current Distribution'!I15</f>
        <v>0</v>
      </c>
      <c r="E13" s="9">
        <f>'Current Distribution with Roth'!J15-'Current Distribution'!J15</f>
        <v>0</v>
      </c>
      <c r="F13" s="9">
        <f>'Current Distribution with Roth'!K15-'Current Distribution'!K15</f>
        <v>190743.67479674792</v>
      </c>
      <c r="G13" s="9">
        <f>'Current Distribution with Roth'!L15-'Current Distribution'!L15</f>
        <v>191273.75229496066</v>
      </c>
      <c r="H13" s="9">
        <f>'Current Distribution with Roth'!M15-'Current Distribution'!M15</f>
        <v>192363.74217638921</v>
      </c>
      <c r="I13" s="9">
        <f>'Current Distribution with Roth'!N15-'Current Distribution'!N15</f>
        <v>193753.30513848382</v>
      </c>
      <c r="J13" s="9">
        <f>'Current Distribution with Roth'!O15-'Current Distribution'!O15</f>
        <v>195633.61463776231</v>
      </c>
      <c r="K13" s="9">
        <f>'Current Distribution with Roth'!P15-'Current Distribution'!P15</f>
        <v>137022.94521049981</v>
      </c>
      <c r="L13" s="9">
        <f>'Current Distribution with Roth'!Q15-'Current Distribution'!Q15</f>
        <v>136611.95714855101</v>
      </c>
      <c r="M13" s="9">
        <f>'Current Distribution with Roth'!R15-'Current Distribution'!R15</f>
        <v>0</v>
      </c>
      <c r="N13" s="9">
        <f>'Current Distribution with Roth'!S15-'Current Distribution'!S15</f>
        <v>-60073.170530973293</v>
      </c>
      <c r="O13" s="9">
        <f>'Current Distribution with Roth'!T15-'Current Distribution'!T15</f>
        <v>-63818.909399375159</v>
      </c>
      <c r="P13" s="9">
        <f>'Current Distribution with Roth'!U15-'Current Distribution'!U15</f>
        <v>-67528.707791290071</v>
      </c>
      <c r="Q13" s="9">
        <f>'Current Distribution with Roth'!V15-'Current Distribution'!V15</f>
        <v>-71449.361880775934</v>
      </c>
      <c r="R13" s="9">
        <f>'Current Distribution with Roth'!W15-'Current Distribution'!W15</f>
        <v>-75262.0745540645</v>
      </c>
      <c r="S13" s="9">
        <f>'Current Distribution with Roth'!X15-'Current Distribution'!X15</f>
        <v>-79620.432871422614</v>
      </c>
      <c r="T13" s="9">
        <f>'Current Distribution with Roth'!Y15-'Current Distribution'!Y15</f>
        <v>-84224.078753087801</v>
      </c>
      <c r="U13" s="9">
        <f>'Current Distribution with Roth'!Z15-'Current Distribution'!Z15</f>
        <v>-89085.726071211597</v>
      </c>
      <c r="V13" s="9">
        <f>'Current Distribution with Roth'!AA15-'Current Distribution'!AA15</f>
        <v>-93732.878379668633</v>
      </c>
      <c r="W13" s="9">
        <f>'Current Distribution with Roth'!AB15-'Current Distribution'!AB15</f>
        <v>-99123.785547018197</v>
      </c>
      <c r="X13" s="9">
        <f>'Current Distribution with Roth'!AC15-'Current Distribution'!AC15</f>
        <v>-104219.98017118695</v>
      </c>
      <c r="Y13" s="9">
        <f>'Current Distribution with Roth'!AD15-'Current Distribution'!AD15</f>
        <v>-110187.81475003705</v>
      </c>
      <c r="Z13" s="9">
        <f>'Current Distribution with Roth'!AE15-'Current Distribution'!AE15</f>
        <v>-115752.29939491393</v>
      </c>
      <c r="AA13" s="9">
        <f>'Current Distribution with Roth'!AF15-'Current Distribution'!AF15</f>
        <v>-121539.91436465965</v>
      </c>
      <c r="AB13" s="9">
        <f>'Current Distribution with Roth'!AG15-'Current Distribution'!AG15</f>
        <v>-127549.38790824558</v>
      </c>
      <c r="AC13" s="9">
        <f>'Current Distribution with Roth'!AH15-'Current Distribution'!AH15</f>
        <v>-132800.32621337337</v>
      </c>
      <c r="AD13" s="9">
        <f>'Current Distribution with Roth'!AI15-'Current Distribution'!AI15</f>
        <v>-139203.56674862286</v>
      </c>
      <c r="AE13" s="9"/>
      <c r="AF13" s="9"/>
      <c r="AG13" s="9"/>
      <c r="AH13" s="9"/>
      <c r="AI13" s="9"/>
      <c r="AJ13" s="9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 s="30"/>
    </row>
    <row r="14" spans="1:522" s="8" customFormat="1" x14ac:dyDescent="0.2">
      <c r="A14" s="8" t="s">
        <v>9</v>
      </c>
      <c r="C14" s="9">
        <f>'Current Distribution with Roth'!H16-'Current Distribution'!H16</f>
        <v>0</v>
      </c>
      <c r="D14" s="9">
        <f>'Current Distribution with Roth'!I16-'Current Distribution'!I16</f>
        <v>0</v>
      </c>
      <c r="E14" s="9">
        <f>'Current Distribution with Roth'!J16-'Current Distribution'!J16</f>
        <v>0</v>
      </c>
      <c r="F14" s="9">
        <f>'Current Distribution with Roth'!K16-'Current Distribution'!K16</f>
        <v>0</v>
      </c>
      <c r="G14" s="9">
        <f>'Current Distribution with Roth'!L16-'Current Distribution'!L16</f>
        <v>0</v>
      </c>
      <c r="H14" s="9">
        <f>'Current Distribution with Roth'!M16-'Current Distribution'!M16</f>
        <v>0</v>
      </c>
      <c r="I14" s="9">
        <f>'Current Distribution with Roth'!N16-'Current Distribution'!N16</f>
        <v>0</v>
      </c>
      <c r="J14" s="9">
        <f>'Current Distribution with Roth'!O16-'Current Distribution'!O16</f>
        <v>0</v>
      </c>
      <c r="K14" s="9">
        <f>'Current Distribution with Roth'!P16-'Current Distribution'!P16</f>
        <v>0</v>
      </c>
      <c r="L14" s="9">
        <f>'Current Distribution with Roth'!Q16-'Current Distribution'!Q16</f>
        <v>0</v>
      </c>
      <c r="M14" s="9">
        <f>'Current Distribution with Roth'!R16-'Current Distribution'!R16</f>
        <v>0</v>
      </c>
      <c r="N14" s="9">
        <f>'Current Distribution with Roth'!S16-'Current Distribution'!S16</f>
        <v>0</v>
      </c>
      <c r="O14" s="9">
        <f>'Current Distribution with Roth'!T16-'Current Distribution'!T16</f>
        <v>0</v>
      </c>
      <c r="P14" s="9">
        <f>'Current Distribution with Roth'!U16-'Current Distribution'!U16</f>
        <v>0</v>
      </c>
      <c r="Q14" s="9">
        <f>'Current Distribution with Roth'!V16-'Current Distribution'!V16</f>
        <v>0</v>
      </c>
      <c r="R14" s="9">
        <f>'Current Distribution with Roth'!W16-'Current Distribution'!W16</f>
        <v>0</v>
      </c>
      <c r="S14" s="9">
        <f>'Current Distribution with Roth'!X16-'Current Distribution'!X16</f>
        <v>0</v>
      </c>
      <c r="T14" s="9">
        <f>'Current Distribution with Roth'!Y16-'Current Distribution'!Y16</f>
        <v>0</v>
      </c>
      <c r="U14" s="9">
        <f>'Current Distribution with Roth'!Z16-'Current Distribution'!Z16</f>
        <v>0</v>
      </c>
      <c r="V14" s="9">
        <f>'Current Distribution with Roth'!AA16-'Current Distribution'!AA16</f>
        <v>0</v>
      </c>
      <c r="W14" s="9">
        <f>'Current Distribution with Roth'!AB16-'Current Distribution'!AB16</f>
        <v>0</v>
      </c>
      <c r="X14" s="9">
        <f>'Current Distribution with Roth'!AC16-'Current Distribution'!AC16</f>
        <v>0</v>
      </c>
      <c r="Y14" s="9">
        <f>'Current Distribution with Roth'!AD16-'Current Distribution'!AD16</f>
        <v>0</v>
      </c>
      <c r="Z14" s="9">
        <f>'Current Distribution with Roth'!AE16-'Current Distribution'!AE16</f>
        <v>0</v>
      </c>
      <c r="AA14" s="9">
        <f>'Current Distribution with Roth'!AF16-'Current Distribution'!AF16</f>
        <v>0</v>
      </c>
      <c r="AB14" s="9">
        <f>'Current Distribution with Roth'!AG16-'Current Distribution'!AG16</f>
        <v>0</v>
      </c>
      <c r="AC14" s="9">
        <f>'Current Distribution with Roth'!AH16-'Current Distribution'!AH16</f>
        <v>0</v>
      </c>
      <c r="AD14" s="9">
        <f>'Current Distribution with Roth'!AI16-'Current Distribution'!AI16</f>
        <v>0</v>
      </c>
      <c r="AE14" s="9"/>
      <c r="AF14" s="9"/>
      <c r="AG14" s="9"/>
      <c r="AH14" s="9"/>
      <c r="AI14" s="9"/>
      <c r="AJ14" s="9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30"/>
    </row>
    <row r="15" spans="1:522" s="8" customFormat="1" x14ac:dyDescent="0.2">
      <c r="A15" s="8" t="s">
        <v>34</v>
      </c>
      <c r="C15" s="9">
        <f>'Current Distribution with Roth'!H17-'Current Distribution'!H17</f>
        <v>0</v>
      </c>
      <c r="D15" s="9">
        <f>'Current Distribution with Roth'!I17-'Current Distribution'!I17</f>
        <v>0</v>
      </c>
      <c r="E15" s="9">
        <f>'Current Distribution with Roth'!J17-'Current Distribution'!J17</f>
        <v>0</v>
      </c>
      <c r="F15" s="9">
        <f>'Current Distribution with Roth'!K17-'Current Distribution'!K17</f>
        <v>-348.79105691061704</v>
      </c>
      <c r="G15" s="9">
        <f>'Current Distribution with Roth'!L17-'Current Distribution'!L17</f>
        <v>1540.7183647353086</v>
      </c>
      <c r="H15" s="9">
        <f>'Current Distribution with Roth'!M17-'Current Distribution'!M17</f>
        <v>3952.7129945159832</v>
      </c>
      <c r="I15" s="9">
        <f>'Current Distribution with Roth'!N17-'Current Distribution'!N17</f>
        <v>6853.4756939875952</v>
      </c>
      <c r="J15" s="9">
        <f>'Current Distribution with Roth'!O17-'Current Distribution'!O17</f>
        <v>10330.034959982411</v>
      </c>
      <c r="K15" s="9">
        <f>'Current Distribution with Roth'!P17-'Current Distribution'!P17</f>
        <v>-2651.886314027186</v>
      </c>
      <c r="L15" s="9">
        <f>'Current Distribution with Roth'!Q17-'Current Distribution'!Q17</f>
        <v>-572.67856478117756</v>
      </c>
      <c r="M15" s="9">
        <f>'Current Distribution with Roth'!R17-'Current Distribution'!R17</f>
        <v>-38958.172438539623</v>
      </c>
      <c r="N15" s="9">
        <f>'Current Distribution with Roth'!S17-'Current Distribution'!S17</f>
        <v>4891.4423565218458</v>
      </c>
      <c r="O15" s="9">
        <f>'Current Distribution with Roth'!T17-'Current Distribution'!T17</f>
        <v>8970.9027048831922</v>
      </c>
      <c r="P15" s="9">
        <f>'Current Distribution with Roth'!U17-'Current Distribution'!U17</f>
        <v>12119.591450629232</v>
      </c>
      <c r="Q15" s="9">
        <f>'Current Distribution with Roth'!V17-'Current Distribution'!V17</f>
        <v>14766.592981921858</v>
      </c>
      <c r="R15" s="9">
        <f>'Current Distribution with Roth'!W17-'Current Distribution'!W17</f>
        <v>16889.769195352332</v>
      </c>
      <c r="S15" s="9">
        <f>'Current Distribution with Roth'!X17-'Current Distribution'!X17</f>
        <v>19807.304850589717</v>
      </c>
      <c r="T15" s="9">
        <f>'Current Distribution with Roth'!Y17-'Current Distribution'!Y17</f>
        <v>22901.035905994242</v>
      </c>
      <c r="U15" s="9">
        <f>'Current Distribution with Roth'!Z17-'Current Distribution'!Z17</f>
        <v>25987.952035230352</v>
      </c>
      <c r="V15" s="9">
        <f>'Current Distribution with Roth'!AA17-'Current Distribution'!AA17</f>
        <v>28756.979562575987</v>
      </c>
      <c r="W15" s="9">
        <f>'Current Distribution with Roth'!AB17-'Current Distribution'!AB17</f>
        <v>26399.430837441294</v>
      </c>
      <c r="X15" s="9">
        <f>'Current Distribution with Roth'!AC17-'Current Distribution'!AC17</f>
        <v>18234.945008273702</v>
      </c>
      <c r="Y15" s="9">
        <f>'Current Distribution with Roth'!AD17-'Current Distribution'!AD17</f>
        <v>9526.2404662094195</v>
      </c>
      <c r="Z15" s="9">
        <f>'Current Distribution with Roth'!AE17-'Current Distribution'!AE17</f>
        <v>1049.7533599709277</v>
      </c>
      <c r="AA15" s="9">
        <f>'Current Distribution with Roth'!AF17-'Current Distribution'!AF17</f>
        <v>0</v>
      </c>
      <c r="AB15" s="9">
        <f>'Current Distribution with Roth'!AG17-'Current Distribution'!AG17</f>
        <v>0</v>
      </c>
      <c r="AC15" s="9">
        <f>'Current Distribution with Roth'!AH17-'Current Distribution'!AH17</f>
        <v>0</v>
      </c>
      <c r="AD15" s="9">
        <f>'Current Distribution with Roth'!AI17-'Current Distribution'!AI17</f>
        <v>0</v>
      </c>
      <c r="AE15" s="9"/>
      <c r="AF15" s="9"/>
      <c r="AG15" s="9"/>
      <c r="AH15" s="9"/>
      <c r="AI15" s="9"/>
      <c r="AJ15" s="9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30"/>
    </row>
    <row r="16" spans="1:522" s="8" customFormat="1" x14ac:dyDescent="0.2">
      <c r="A16" s="8" t="s">
        <v>35</v>
      </c>
      <c r="C16" s="9">
        <f>'Current Distribution with Roth'!H14-'Current Distribution'!H14</f>
        <v>0</v>
      </c>
      <c r="D16" s="9">
        <f>'Current Distribution with Roth'!I14-'Current Distribution'!I14</f>
        <v>0</v>
      </c>
      <c r="E16" s="9">
        <f>'Current Distribution with Roth'!J14-'Current Distribution'!J14</f>
        <v>0</v>
      </c>
      <c r="F16" s="9">
        <f>'Current Distribution with Roth'!K14-'Current Distribution'!K14</f>
        <v>0</v>
      </c>
      <c r="G16" s="9">
        <f>'Current Distribution with Roth'!L14-'Current Distribution'!L14</f>
        <v>0</v>
      </c>
      <c r="H16" s="9">
        <f>'Current Distribution with Roth'!M14-'Current Distribution'!M14</f>
        <v>0</v>
      </c>
      <c r="I16" s="9">
        <f>'Current Distribution with Roth'!N14-'Current Distribution'!N14</f>
        <v>0</v>
      </c>
      <c r="J16" s="9">
        <f>'Current Distribution with Roth'!O14-'Current Distribution'!O14</f>
        <v>0</v>
      </c>
      <c r="K16" s="9">
        <f>'Current Distribution with Roth'!P14-'Current Distribution'!P14</f>
        <v>0</v>
      </c>
      <c r="L16" s="9">
        <f>'Current Distribution with Roth'!Q14-'Current Distribution'!Q14</f>
        <v>0</v>
      </c>
      <c r="M16" s="9">
        <f>'Current Distribution with Roth'!R14-'Current Distribution'!R14</f>
        <v>0</v>
      </c>
      <c r="N16" s="9">
        <f>'Current Distribution with Roth'!S14-'Current Distribution'!S14</f>
        <v>0</v>
      </c>
      <c r="O16" s="9">
        <f>'Current Distribution with Roth'!T14-'Current Distribution'!T14</f>
        <v>0</v>
      </c>
      <c r="P16" s="9">
        <f>'Current Distribution with Roth'!U14-'Current Distribution'!U14</f>
        <v>0</v>
      </c>
      <c r="Q16" s="9">
        <f>'Current Distribution with Roth'!V14-'Current Distribution'!V14</f>
        <v>0</v>
      </c>
      <c r="R16" s="9">
        <f>'Current Distribution with Roth'!W14-'Current Distribution'!W14</f>
        <v>0</v>
      </c>
      <c r="S16" s="9">
        <f>'Current Distribution with Roth'!X14-'Current Distribution'!X14</f>
        <v>0</v>
      </c>
      <c r="T16" s="9">
        <f>'Current Distribution with Roth'!Y14-'Current Distribution'!Y14</f>
        <v>0</v>
      </c>
      <c r="U16" s="9">
        <f>'Current Distribution with Roth'!Z14-'Current Distribution'!Z14</f>
        <v>0</v>
      </c>
      <c r="V16" s="9">
        <f>'Current Distribution with Roth'!AA14-'Current Distribution'!AA14</f>
        <v>0</v>
      </c>
      <c r="W16" s="9">
        <f>'Current Distribution with Roth'!AB14-'Current Distribution'!AB14</f>
        <v>0</v>
      </c>
      <c r="X16" s="9">
        <f>'Current Distribution with Roth'!AC14-'Current Distribution'!AC14</f>
        <v>0</v>
      </c>
      <c r="Y16" s="9">
        <f>'Current Distribution with Roth'!AD14-'Current Distribution'!AD14</f>
        <v>0</v>
      </c>
      <c r="Z16" s="9">
        <f>'Current Distribution with Roth'!AE14-'Current Distribution'!AE14</f>
        <v>0</v>
      </c>
      <c r="AA16" s="9">
        <f>'Current Distribution with Roth'!AF14-'Current Distribution'!AF14</f>
        <v>0</v>
      </c>
      <c r="AB16" s="9">
        <f>'Current Distribution with Roth'!AG14-'Current Distribution'!AG14</f>
        <v>0</v>
      </c>
      <c r="AC16" s="9">
        <f>'Current Distribution with Roth'!AH14-'Current Distribution'!AH14</f>
        <v>0</v>
      </c>
      <c r="AD16" s="9">
        <f>'Current Distribution with Roth'!AI14-'Current Distribution'!AI14</f>
        <v>0</v>
      </c>
      <c r="AE16" s="9"/>
      <c r="AF16" s="9"/>
      <c r="AG16" s="9"/>
      <c r="AH16" s="9"/>
      <c r="AI16" s="9"/>
      <c r="AJ16" s="9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30"/>
    </row>
    <row r="18" spans="1:522" s="10" customFormat="1" ht="17" customHeight="1" x14ac:dyDescent="0.2">
      <c r="A18" s="10" t="s">
        <v>10</v>
      </c>
      <c r="C18" s="13">
        <f>'Current Distribution with Roth'!H19-'Current Distribution'!H19</f>
        <v>0</v>
      </c>
      <c r="D18" s="13">
        <f>'Current Distribution with Roth'!I19-'Current Distribution'!I19</f>
        <v>0</v>
      </c>
      <c r="E18" s="13">
        <f>'Current Distribution with Roth'!J19-'Current Distribution'!J19</f>
        <v>0</v>
      </c>
      <c r="F18" s="13">
        <f>'Current Distribution with Roth'!K19-'Current Distribution'!K19</f>
        <v>190394.88373983733</v>
      </c>
      <c r="G18" s="13">
        <f>'Current Distribution with Roth'!L19-'Current Distribution'!L19</f>
        <v>192814.47065969591</v>
      </c>
      <c r="H18" s="13">
        <f>'Current Distribution with Roth'!M19-'Current Distribution'!M19</f>
        <v>196316.45517090522</v>
      </c>
      <c r="I18" s="13">
        <f>'Current Distribution with Roth'!N19-'Current Distribution'!N19</f>
        <v>200606.78083247133</v>
      </c>
      <c r="J18" s="13">
        <f>'Current Distribution with Roth'!O19-'Current Distribution'!O19</f>
        <v>205963.64959774469</v>
      </c>
      <c r="K18" s="13">
        <f>'Current Distribution with Roth'!P19-'Current Distribution'!P19</f>
        <v>134371.05889647256</v>
      </c>
      <c r="L18" s="13">
        <f>'Current Distribution with Roth'!Q19-'Current Distribution'!Q19</f>
        <v>136039.2785837698</v>
      </c>
      <c r="M18" s="13">
        <f>'Current Distribution with Roth'!R19-'Current Distribution'!R19</f>
        <v>-38958.172438539623</v>
      </c>
      <c r="N18" s="13">
        <f>'Current Distribution with Roth'!S19-'Current Distribution'!S19</f>
        <v>-55181.728174451448</v>
      </c>
      <c r="O18" s="13">
        <f>'Current Distribution with Roth'!T19-'Current Distribution'!T19</f>
        <v>-54848.006694491953</v>
      </c>
      <c r="P18" s="13">
        <f>'Current Distribution with Roth'!U19-'Current Distribution'!U19</f>
        <v>-55409.116340660781</v>
      </c>
      <c r="Q18" s="13">
        <f>'Current Distribution with Roth'!V19-'Current Distribution'!V19</f>
        <v>-56682.76889885409</v>
      </c>
      <c r="R18" s="13">
        <f>'Current Distribution with Roth'!W19-'Current Distribution'!W19</f>
        <v>-58372.305358712212</v>
      </c>
      <c r="S18" s="13">
        <f>'Current Distribution with Roth'!X19-'Current Distribution'!X19</f>
        <v>-59813.128020832955</v>
      </c>
      <c r="T18" s="13">
        <f>'Current Distribution with Roth'!Y19-'Current Distribution'!Y19</f>
        <v>-61323.042847093602</v>
      </c>
      <c r="U18" s="13">
        <f>'Current Distribution with Roth'!Z19-'Current Distribution'!Z19</f>
        <v>-63097.774035981332</v>
      </c>
      <c r="V18" s="13">
        <f>'Current Distribution with Roth'!AA19-'Current Distribution'!AA19</f>
        <v>-64975.898817092588</v>
      </c>
      <c r="W18" s="13">
        <f>'Current Distribution with Roth'!AB19-'Current Distribution'!AB19</f>
        <v>-72724.354709576932</v>
      </c>
      <c r="X18" s="13">
        <f>'Current Distribution with Roth'!AC19-'Current Distribution'!AC19</f>
        <v>-85985.035162913264</v>
      </c>
      <c r="Y18" s="13">
        <f>'Current Distribution with Roth'!AD19-'Current Distribution'!AD19</f>
        <v>-100661.57428382768</v>
      </c>
      <c r="Z18" s="13">
        <f>'Current Distribution with Roth'!AE19-'Current Distribution'!AE19</f>
        <v>-114702.54603494308</v>
      </c>
      <c r="AA18" s="13">
        <f>'Current Distribution with Roth'!AF19-'Current Distribution'!AF19</f>
        <v>-121539.91436465958</v>
      </c>
      <c r="AB18" s="13">
        <f>'Current Distribution with Roth'!AG19-'Current Distribution'!AG19</f>
        <v>-127549.38790824555</v>
      </c>
      <c r="AC18" s="13">
        <f>'Current Distribution with Roth'!AH19-'Current Distribution'!AH19</f>
        <v>-132800.32621337334</v>
      </c>
      <c r="AD18" s="13">
        <f>'Current Distribution with Roth'!AI19-'Current Distribution'!AI19</f>
        <v>-139203.5667486228</v>
      </c>
      <c r="AE18" s="13"/>
      <c r="AF18" s="13"/>
      <c r="AG18" s="13"/>
      <c r="AH18" s="13"/>
      <c r="AI18" s="13"/>
      <c r="AJ18" s="13"/>
      <c r="AK18" s="1"/>
      <c r="AL18" s="5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31"/>
    </row>
    <row r="19" spans="1:522" s="20" customFormat="1" x14ac:dyDescent="0.2">
      <c r="A19" s="20" t="s">
        <v>11</v>
      </c>
      <c r="C19" s="21">
        <f>'Current Distribution with Roth'!H20-'Current Distribution'!H20</f>
        <v>0</v>
      </c>
      <c r="D19" s="21">
        <f>'Current Distribution with Roth'!I20-'Current Distribution'!I20</f>
        <v>0</v>
      </c>
      <c r="E19" s="21">
        <f>'Current Distribution with Roth'!J20-'Current Distribution'!J20</f>
        <v>0</v>
      </c>
      <c r="F19" s="21">
        <f>'Current Distribution with Roth'!K20-'Current Distribution'!K20</f>
        <v>-348.79105691061704</v>
      </c>
      <c r="G19" s="21">
        <f>'Current Distribution with Roth'!L20-'Current Distribution'!L20</f>
        <v>1540.7183647353086</v>
      </c>
      <c r="H19" s="21">
        <f>'Current Distribution with Roth'!M20-'Current Distribution'!M20</f>
        <v>3952.7129945159832</v>
      </c>
      <c r="I19" s="21">
        <f>'Current Distribution with Roth'!N20-'Current Distribution'!N20</f>
        <v>6853.4756939875952</v>
      </c>
      <c r="J19" s="21">
        <f>'Current Distribution with Roth'!O20-'Current Distribution'!O20</f>
        <v>10330.034959982411</v>
      </c>
      <c r="K19" s="21">
        <f>'Current Distribution with Roth'!P20-'Current Distribution'!P20</f>
        <v>-2651.886314027186</v>
      </c>
      <c r="L19" s="21">
        <f>'Current Distribution with Roth'!Q20-'Current Distribution'!Q20</f>
        <v>-572.67856478117756</v>
      </c>
      <c r="M19" s="21">
        <f>'Current Distribution with Roth'!R20-'Current Distribution'!R20</f>
        <v>-38958.172438539623</v>
      </c>
      <c r="N19" s="21">
        <f>'Current Distribution with Roth'!S20-'Current Distribution'!S20</f>
        <v>4891.4423565218458</v>
      </c>
      <c r="O19" s="21">
        <f>'Current Distribution with Roth'!T20-'Current Distribution'!T20</f>
        <v>8970.9027048831922</v>
      </c>
      <c r="P19" s="21">
        <f>'Current Distribution with Roth'!U20-'Current Distribution'!U20</f>
        <v>12119.591450629232</v>
      </c>
      <c r="Q19" s="21">
        <f>'Current Distribution with Roth'!V20-'Current Distribution'!V20</f>
        <v>14766.592981921858</v>
      </c>
      <c r="R19" s="21">
        <f>'Current Distribution with Roth'!W20-'Current Distribution'!W20</f>
        <v>16889.769195352332</v>
      </c>
      <c r="S19" s="21">
        <f>'Current Distribution with Roth'!X20-'Current Distribution'!X20</f>
        <v>19807.304850589717</v>
      </c>
      <c r="T19" s="21">
        <f>'Current Distribution with Roth'!Y20-'Current Distribution'!Y20</f>
        <v>22901.035905994242</v>
      </c>
      <c r="U19" s="21">
        <f>'Current Distribution with Roth'!Z20-'Current Distribution'!Z20</f>
        <v>25987.952035230352</v>
      </c>
      <c r="V19" s="21">
        <f>'Current Distribution with Roth'!AA20-'Current Distribution'!AA20</f>
        <v>28756.979562575987</v>
      </c>
      <c r="W19" s="21">
        <f>'Current Distribution with Roth'!AB20-'Current Distribution'!AB20</f>
        <v>26399.430837441294</v>
      </c>
      <c r="X19" s="21">
        <f>'Current Distribution with Roth'!AC20-'Current Distribution'!AC20</f>
        <v>18234.945008273702</v>
      </c>
      <c r="Y19" s="21">
        <f>'Current Distribution with Roth'!AD20-'Current Distribution'!AD20</f>
        <v>9526.2404662094195</v>
      </c>
      <c r="Z19" s="21">
        <f>'Current Distribution with Roth'!AE20-'Current Distribution'!AE20</f>
        <v>1049.7533599709277</v>
      </c>
      <c r="AA19" s="21">
        <f>'Current Distribution with Roth'!AF20-'Current Distribution'!AF20</f>
        <v>0</v>
      </c>
      <c r="AB19" s="21">
        <f>'Current Distribution with Roth'!AG20-'Current Distribution'!AG20</f>
        <v>0</v>
      </c>
      <c r="AC19" s="21">
        <f>'Current Distribution with Roth'!AH20-'Current Distribution'!AH20</f>
        <v>0</v>
      </c>
      <c r="AD19" s="21">
        <f>'Current Distribution with Roth'!AI20-'Current Distribution'!AI20</f>
        <v>0</v>
      </c>
      <c r="AE19" s="21"/>
      <c r="AF19" s="21"/>
      <c r="AG19" s="21"/>
      <c r="AH19" s="21"/>
      <c r="AI19" s="21"/>
      <c r="AJ19" s="21"/>
      <c r="AK19"/>
      <c r="AL19" s="51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 s="32"/>
    </row>
    <row r="20" spans="1:522" s="20" customFormat="1" x14ac:dyDescent="0.2">
      <c r="A20" s="20" t="s">
        <v>12</v>
      </c>
      <c r="C20" s="21">
        <f>'Current Distribution with Roth'!H23-'Current Distribution'!H21</f>
        <v>0</v>
      </c>
      <c r="D20" s="21">
        <f>'Current Distribution with Roth'!I23-'Current Distribution'!I21</f>
        <v>0</v>
      </c>
      <c r="E20" s="21">
        <f>'Current Distribution with Roth'!J23-'Current Distribution'!J21</f>
        <v>0</v>
      </c>
      <c r="F20" s="21">
        <f>'Current Distribution with Roth'!K23-'Current Distribution'!K21</f>
        <v>2000.0000000000582</v>
      </c>
      <c r="G20" s="21">
        <f>'Current Distribution with Roth'!L23-'Current Distribution'!L21</f>
        <v>-418.17739186986</v>
      </c>
      <c r="H20" s="21">
        <f>'Current Distribution with Roth'!M23-'Current Distribution'!M21</f>
        <v>-3344.2849793430651</v>
      </c>
      <c r="I20" s="21">
        <f>'Current Distribution with Roth'!N23-'Current Distribution'!N21</f>
        <v>-6832.7364655723795</v>
      </c>
      <c r="J20" s="21">
        <f>'Current Distribution with Roth'!O23-'Current Distribution'!O21</f>
        <v>-10930.059529734659</v>
      </c>
      <c r="K20" s="21">
        <f>'Current Distribution with Roth'!P23-'Current Distribution'!P21</f>
        <v>-15692.651426434517</v>
      </c>
      <c r="L20" s="21">
        <f>'Current Distribution with Roth'!Q23-'Current Distribution'!Q21</f>
        <v>-18740.268657811859</v>
      </c>
      <c r="M20" s="21">
        <f>'Current Distribution with Roth'!R23-'Current Distribution'!R21</f>
        <v>-22345.467944943404</v>
      </c>
      <c r="N20" s="21">
        <f>'Current Distribution with Roth'!S23-'Current Distribution'!S21</f>
        <v>-86563.444882703712</v>
      </c>
      <c r="O20" s="21">
        <f>'Current Distribution with Roth'!T23-'Current Distribution'!T21</f>
        <v>-90815.57529269025</v>
      </c>
      <c r="P20" s="21">
        <f>'Current Distribution with Roth'!U23-'Current Distribution'!U21</f>
        <v>-95313.702072327491</v>
      </c>
      <c r="Q20" s="21">
        <f>'Current Distribution with Roth'!V23-'Current Distribution'!V21</f>
        <v>-100307.34193564282</v>
      </c>
      <c r="R20" s="21">
        <f>'Current Distribution with Roth'!W23-'Current Distribution'!W21</f>
        <v>-104966.34548763285</v>
      </c>
      <c r="S20" s="21">
        <f>'Current Distribution with Roth'!X23-'Current Distribution'!X21</f>
        <v>-109947.26588804787</v>
      </c>
      <c r="T20" s="21">
        <f>'Current Distribution with Roth'!Y23-'Current Distribution'!Y21</f>
        <v>-114937.15468708746</v>
      </c>
      <c r="U20" s="21">
        <f>'Current Distribution with Roth'!Z23-'Current Distribution'!Z21</f>
        <v>-119916.05166972638</v>
      </c>
      <c r="V20" s="21">
        <f>'Current Distribution with Roth'!AA23-'Current Distribution'!AA21</f>
        <v>-124382.22510092903</v>
      </c>
      <c r="W20" s="21">
        <f>'Current Distribution with Roth'!AB23-'Current Distribution'!AB21</f>
        <v>-101723.72130008077</v>
      </c>
      <c r="X20" s="21">
        <f>'Current Distribution with Roth'!AC23-'Current Distribution'!AC21</f>
        <v>-106953.58493754256</v>
      </c>
      <c r="Y20" s="21">
        <f>'Current Distribution with Roth'!AD23-'Current Distribution'!AD21</f>
        <v>-113077.95093218039</v>
      </c>
      <c r="Z20" s="21">
        <f>'Current Distribution with Roth'!AE23-'Current Distribution'!AE21</f>
        <v>-118788.38745425548</v>
      </c>
      <c r="AA20" s="21">
        <f>'Current Distribution with Roth'!AF23-'Current Distribution'!AF21</f>
        <v>-124727.80682696821</v>
      </c>
      <c r="AB20" s="21">
        <f>'Current Distribution with Roth'!AG23-'Current Distribution'!AG21</f>
        <v>-130894.90394230164</v>
      </c>
      <c r="AC20" s="21">
        <f>'Current Distribution with Roth'!AH23-'Current Distribution'!AH21</f>
        <v>-136283.57006080227</v>
      </c>
      <c r="AD20" s="21">
        <f>'Current Distribution with Roth'!AI23-'Current Distribution'!AI21</f>
        <v>-142854.76235365646</v>
      </c>
      <c r="AE20" s="21"/>
      <c r="AF20" s="21"/>
      <c r="AG20" s="21"/>
      <c r="AH20" s="21"/>
      <c r="AI20" s="21"/>
      <c r="AJ20" s="21"/>
      <c r="AK20"/>
      <c r="AL20" s="51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 s="32"/>
    </row>
    <row r="21" spans="1:522" s="24" customFormat="1" x14ac:dyDescent="0.2">
      <c r="A21" s="52" t="s">
        <v>15</v>
      </c>
      <c r="B21" s="52"/>
      <c r="C21" s="53">
        <f>'Current Distribution with Roth'!H27-'Current Distribution'!H22</f>
        <v>0</v>
      </c>
      <c r="D21" s="53">
        <f>'Current Distribution with Roth'!I27-'Current Distribution'!I22</f>
        <v>0</v>
      </c>
      <c r="E21" s="53">
        <f>'Current Distribution with Roth'!J27-'Current Distribution'!J22</f>
        <v>0</v>
      </c>
      <c r="F21" s="53">
        <f>'Current Distribution with Roth'!K27-'Current Distribution'!K22</f>
        <v>79651.208943089427</v>
      </c>
      <c r="G21" s="53">
        <f>'Current Distribution with Roth'!L27-'Current Distribution'!L22</f>
        <v>79122.540972865419</v>
      </c>
      <c r="H21" s="53">
        <f>'Current Distribution with Roth'!M27-'Current Distribution'!M22</f>
        <v>78608.428015172918</v>
      </c>
      <c r="I21" s="53">
        <f>'Current Distribution with Roth'!N27-'Current Distribution'!N22</f>
        <v>78020.739228415201</v>
      </c>
      <c r="J21" s="53">
        <f>'Current Distribution with Roth'!O27-'Current Distribution'!O22</f>
        <v>77399.975430247738</v>
      </c>
      <c r="K21" s="53">
        <f>'Current Distribution with Roth'!P27-'Current Distribution'!P22</f>
        <v>59655.462259538268</v>
      </c>
      <c r="L21" s="53">
        <f>'Current Distribution with Roth'!Q27-'Current Distribution'!Q22</f>
        <v>58687.052777406949</v>
      </c>
      <c r="M21" s="53">
        <f>'Current Distribution with Roth'!R27-'Current Distribution'!R22</f>
        <v>16696.35961651698</v>
      </c>
      <c r="N21" s="53">
        <f>'Current Distribution with Roth'!S27-'Current Distribution'!S22</f>
        <v>-2096.3324385093729</v>
      </c>
      <c r="O21" s="53">
        <f>'Current Distribution with Roth'!T27-'Current Distribution'!T22</f>
        <v>-3844.672587807072</v>
      </c>
      <c r="P21" s="53">
        <f>'Current Distribution with Roth'!U27-'Current Distribution'!U22</f>
        <v>-5194.1106216982589</v>
      </c>
      <c r="Q21" s="53">
        <f>'Current Distribution with Roth'!V27-'Current Distribution'!V22</f>
        <v>-7540.7489537209476</v>
      </c>
      <c r="R21" s="53">
        <f>'Current Distribution with Roth'!W27-'Current Distribution'!W22</f>
        <v>-10076.576292280515</v>
      </c>
      <c r="S21" s="53">
        <f>'Current Distribution with Roth'!X27-'Current Distribution'!X22</f>
        <v>-12139.961037458183</v>
      </c>
      <c r="T21" s="53">
        <f>'Current Distribution with Roth'!Y27-'Current Distribution'!Y22</f>
        <v>-14036.118781093217</v>
      </c>
      <c r="U21" s="53">
        <f>'Current Distribution with Roth'!Z27-'Current Distribution'!Z22</f>
        <v>-15928.099634496</v>
      </c>
      <c r="V21" s="53">
        <f>'Current Distribution with Roth'!AA27-'Current Distribution'!AA22</f>
        <v>-17625.245538353018</v>
      </c>
      <c r="W21" s="53">
        <f>'Current Distribution with Roth'!AB27-'Current Distribution'!AB22</f>
        <v>-19496.858587250652</v>
      </c>
      <c r="X21" s="53">
        <f>'Current Distribution with Roth'!AC27-'Current Distribution'!AC22</f>
        <v>-21612.095538340567</v>
      </c>
      <c r="Y21" s="53">
        <f>'Current Distribution with Roth'!AD27-'Current Distribution'!AD22</f>
        <v>-24000.946965299634</v>
      </c>
      <c r="Z21" s="53">
        <f>'Current Distribution with Roth'!AE27-'Current Distribution'!AE22</f>
        <v>-26044.287124066235</v>
      </c>
      <c r="AA21" s="53">
        <f>'Current Distribution with Roth'!AF27-'Current Distribution'!AF22</f>
        <v>-27946.835898310499</v>
      </c>
      <c r="AB21" s="53">
        <f>'Current Distribution with Roth'!AG27-'Current Distribution'!AG22</f>
        <v>-29547.683119567315</v>
      </c>
      <c r="AC21" s="53">
        <f>'Current Distribution with Roth'!AH27-'Current Distribution'!AH22</f>
        <v>-30792.267128281557</v>
      </c>
      <c r="AD21" s="53">
        <f>'Current Distribution with Roth'!AI27-'Current Distribution'!AI22</f>
        <v>-32483.096104485856</v>
      </c>
      <c r="AE21" s="53"/>
      <c r="AF21" s="53"/>
      <c r="AG21" s="53"/>
      <c r="AH21" s="53"/>
      <c r="AI21" s="53"/>
      <c r="AJ21" s="53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/>
      <c r="JT21" s="34"/>
      <c r="JU21" s="34"/>
      <c r="JV21" s="34"/>
      <c r="JW21" s="34"/>
      <c r="JX21" s="34"/>
      <c r="JY21" s="34"/>
      <c r="JZ21" s="34"/>
      <c r="KA21" s="34"/>
      <c r="KB21" s="34"/>
      <c r="KC21" s="34"/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  <c r="KW21" s="34"/>
      <c r="KX21" s="34"/>
      <c r="KY21" s="34"/>
      <c r="KZ21" s="34"/>
      <c r="LA21" s="34"/>
      <c r="LB21" s="34"/>
      <c r="LC21" s="34"/>
      <c r="LD21" s="34"/>
      <c r="LE21" s="34"/>
      <c r="LF21" s="34"/>
      <c r="LG21" s="34"/>
      <c r="LH21" s="34"/>
      <c r="LI21" s="34"/>
      <c r="LJ21" s="34"/>
      <c r="LK21" s="34"/>
      <c r="LL21" s="34"/>
      <c r="LM21" s="34"/>
      <c r="LN21" s="34"/>
      <c r="LO21" s="34"/>
      <c r="LP21" s="34"/>
      <c r="LQ21" s="34"/>
      <c r="LR21" s="34"/>
      <c r="LS21" s="34"/>
      <c r="LT21" s="34"/>
      <c r="LU21" s="34"/>
      <c r="LV21" s="34"/>
      <c r="LW21" s="34"/>
      <c r="LX21" s="34"/>
      <c r="LY21" s="34"/>
      <c r="LZ21" s="34"/>
      <c r="MA21" s="34"/>
      <c r="MB21" s="34"/>
      <c r="MC21" s="34"/>
      <c r="MD21" s="34"/>
      <c r="ME21" s="34"/>
      <c r="MF21" s="34"/>
      <c r="MG21" s="34"/>
      <c r="MH21" s="34"/>
      <c r="MI21" s="34"/>
      <c r="MJ21" s="34"/>
      <c r="MK21" s="34"/>
      <c r="ML21" s="34"/>
      <c r="MM21" s="34"/>
      <c r="MN21" s="34"/>
      <c r="MO21" s="34"/>
      <c r="MP21" s="34"/>
      <c r="MQ21" s="34"/>
      <c r="MR21" s="34"/>
      <c r="MS21" s="34"/>
      <c r="MT21" s="34"/>
      <c r="MU21" s="34"/>
      <c r="MV21" s="34"/>
      <c r="MW21" s="34"/>
      <c r="MX21" s="34"/>
      <c r="MY21" s="34"/>
      <c r="MZ21" s="34"/>
      <c r="NA21" s="34"/>
      <c r="NB21" s="34"/>
      <c r="NC21" s="34"/>
      <c r="ND21" s="34"/>
      <c r="NE21" s="34"/>
      <c r="NF21" s="34"/>
      <c r="NG21" s="34"/>
      <c r="NH21" s="34"/>
      <c r="NI21" s="34"/>
      <c r="NJ21" s="34"/>
      <c r="NK21" s="34"/>
      <c r="NL21" s="34"/>
      <c r="NM21" s="34"/>
      <c r="NN21" s="34"/>
      <c r="NO21" s="34"/>
      <c r="NP21" s="34"/>
      <c r="NQ21" s="34"/>
      <c r="NR21" s="34"/>
      <c r="NS21" s="34"/>
      <c r="NT21" s="34"/>
      <c r="NU21" s="34"/>
      <c r="NV21" s="34"/>
      <c r="NW21" s="34"/>
      <c r="NX21" s="34"/>
      <c r="NY21" s="34"/>
      <c r="NZ21" s="34"/>
      <c r="OA21" s="34"/>
      <c r="OB21" s="34"/>
      <c r="OC21" s="34"/>
      <c r="OD21" s="34"/>
      <c r="OE21" s="34"/>
      <c r="OF21" s="34"/>
      <c r="OG21" s="34"/>
      <c r="OH21" s="34"/>
      <c r="OI21" s="34"/>
      <c r="OJ21" s="34"/>
      <c r="OK21" s="34"/>
      <c r="OL21" s="34"/>
      <c r="OM21" s="34"/>
      <c r="ON21" s="34"/>
      <c r="OO21" s="34"/>
      <c r="OP21" s="34"/>
      <c r="OQ21" s="34"/>
      <c r="OR21" s="34"/>
      <c r="OS21" s="34"/>
      <c r="OT21" s="34"/>
      <c r="OU21" s="34"/>
      <c r="OV21" s="34"/>
      <c r="OW21" s="34"/>
      <c r="OX21" s="34"/>
      <c r="OY21" s="34"/>
      <c r="OZ21" s="34"/>
      <c r="PA21" s="34"/>
      <c r="PB21" s="34"/>
      <c r="PC21" s="34"/>
      <c r="PD21" s="34"/>
      <c r="PE21" s="34"/>
      <c r="PF21" s="34"/>
      <c r="PG21" s="34"/>
      <c r="PH21" s="34"/>
      <c r="PI21" s="34"/>
      <c r="PJ21" s="34"/>
      <c r="PK21" s="34"/>
      <c r="PL21" s="34"/>
      <c r="PM21" s="34"/>
      <c r="PN21" s="34"/>
      <c r="PO21" s="34"/>
      <c r="PP21" s="34"/>
      <c r="PQ21" s="34"/>
      <c r="PR21" s="34"/>
      <c r="PS21" s="34"/>
      <c r="PT21" s="34"/>
      <c r="PU21" s="34"/>
      <c r="PV21" s="34"/>
      <c r="PW21" s="34"/>
      <c r="PX21" s="34"/>
      <c r="PY21" s="34"/>
      <c r="PZ21" s="34"/>
      <c r="QA21" s="34"/>
      <c r="QB21" s="34"/>
      <c r="QC21" s="34"/>
      <c r="QD21" s="34"/>
      <c r="QE21" s="34"/>
      <c r="QF21" s="34"/>
      <c r="QG21" s="34"/>
      <c r="QH21" s="34"/>
      <c r="QI21" s="34"/>
      <c r="QJ21" s="34"/>
      <c r="QK21" s="34"/>
      <c r="QL21" s="34"/>
      <c r="QM21" s="34"/>
      <c r="QN21" s="34"/>
      <c r="QO21" s="34"/>
      <c r="QP21" s="34"/>
      <c r="QQ21" s="34"/>
      <c r="QR21" s="34"/>
      <c r="QS21" s="34"/>
      <c r="QT21" s="34"/>
      <c r="QU21" s="34"/>
      <c r="QV21" s="34"/>
      <c r="QW21" s="34"/>
      <c r="QX21" s="34"/>
      <c r="QY21" s="34"/>
      <c r="QZ21" s="34"/>
      <c r="RA21" s="34"/>
      <c r="RB21" s="34"/>
      <c r="RC21" s="34"/>
      <c r="RD21" s="34"/>
      <c r="RE21" s="34"/>
      <c r="RF21" s="34"/>
      <c r="RG21" s="34"/>
      <c r="RH21" s="34"/>
      <c r="RI21" s="34"/>
      <c r="RJ21" s="34"/>
      <c r="RK21" s="34"/>
      <c r="RL21" s="34"/>
      <c r="RM21" s="34"/>
      <c r="RN21" s="34"/>
      <c r="RO21" s="34"/>
      <c r="RP21" s="34"/>
      <c r="RQ21" s="34"/>
      <c r="RR21" s="34"/>
      <c r="RS21" s="34"/>
      <c r="RT21" s="34"/>
      <c r="RU21" s="34"/>
      <c r="RV21" s="34"/>
      <c r="RW21" s="34"/>
      <c r="RX21" s="34"/>
      <c r="RY21" s="34"/>
      <c r="RZ21" s="34"/>
      <c r="SA21" s="34"/>
      <c r="SB21" s="34"/>
      <c r="SC21" s="34"/>
      <c r="SD21" s="34"/>
      <c r="SE21" s="34"/>
      <c r="SF21" s="34"/>
      <c r="SG21" s="34"/>
      <c r="SH21" s="34"/>
      <c r="SI21" s="34"/>
      <c r="SJ21" s="34"/>
      <c r="SK21" s="34"/>
      <c r="SL21" s="34"/>
      <c r="SM21" s="34"/>
      <c r="SN21" s="34"/>
      <c r="SO21" s="34"/>
      <c r="SP21" s="34"/>
      <c r="SQ21" s="34"/>
      <c r="SR21" s="34"/>
      <c r="SS21" s="34"/>
      <c r="ST21" s="34"/>
      <c r="SU21" s="34"/>
      <c r="SV21" s="34"/>
      <c r="SW21" s="34"/>
      <c r="SX21" s="34"/>
      <c r="SY21" s="34"/>
      <c r="SZ21" s="34"/>
      <c r="TA21" s="34"/>
      <c r="TB21" s="33"/>
    </row>
    <row r="22" spans="1:522" s="20" customFormat="1" x14ac:dyDescent="0.2">
      <c r="A22" s="20" t="s">
        <v>16</v>
      </c>
      <c r="C22" s="21">
        <f>'Current Distribution with Roth'!H29-'Current Distribution'!H24</f>
        <v>0</v>
      </c>
      <c r="D22" s="21">
        <f>'Current Distribution with Roth'!I29-'Current Distribution'!I24</f>
        <v>0</v>
      </c>
      <c r="E22" s="21">
        <f>'Current Distribution with Roth'!J29-'Current Distribution'!J24</f>
        <v>0</v>
      </c>
      <c r="F22" s="21">
        <f>'Current Distribution with Roth'!K29-'Current Distribution'!K24</f>
        <v>0</v>
      </c>
      <c r="G22" s="21">
        <f>'Current Distribution with Roth'!L29-'Current Distribution'!L24</f>
        <v>0</v>
      </c>
      <c r="H22" s="21">
        <f>'Current Distribution with Roth'!M29-'Current Distribution'!M24</f>
        <v>0</v>
      </c>
      <c r="I22" s="21">
        <f>'Current Distribution with Roth'!N29-'Current Distribution'!N24</f>
        <v>0</v>
      </c>
      <c r="J22" s="21">
        <f>'Current Distribution with Roth'!O29-'Current Distribution'!O24</f>
        <v>0</v>
      </c>
      <c r="K22" s="21">
        <f>'Current Distribution with Roth'!P29-'Current Distribution'!P24</f>
        <v>0</v>
      </c>
      <c r="L22" s="21">
        <f>'Current Distribution with Roth'!Q29-'Current Distribution'!Q24</f>
        <v>0</v>
      </c>
      <c r="M22" s="21">
        <f>'Current Distribution with Roth'!R29-'Current Distribution'!R24</f>
        <v>0</v>
      </c>
      <c r="N22" s="21">
        <f>'Current Distribution with Roth'!S29-'Current Distribution'!S24</f>
        <v>0</v>
      </c>
      <c r="O22" s="21">
        <f>'Current Distribution with Roth'!T29-'Current Distribution'!T24</f>
        <v>0</v>
      </c>
      <c r="P22" s="21">
        <f>'Current Distribution with Roth'!U29-'Current Distribution'!U24</f>
        <v>0</v>
      </c>
      <c r="Q22" s="21">
        <f>'Current Distribution with Roth'!V29-'Current Distribution'!V24</f>
        <v>0</v>
      </c>
      <c r="R22" s="21">
        <f>'Current Distribution with Roth'!W29-'Current Distribution'!W24</f>
        <v>0</v>
      </c>
      <c r="S22" s="21">
        <f>'Current Distribution with Roth'!X29-'Current Distribution'!X24</f>
        <v>0</v>
      </c>
      <c r="T22" s="21">
        <f>'Current Distribution with Roth'!Y29-'Current Distribution'!Y24</f>
        <v>0</v>
      </c>
      <c r="U22" s="21">
        <f>'Current Distribution with Roth'!Z29-'Current Distribution'!Z24</f>
        <v>0</v>
      </c>
      <c r="V22" s="21">
        <f>'Current Distribution with Roth'!AA29-'Current Distribution'!AA24</f>
        <v>0</v>
      </c>
      <c r="W22" s="21">
        <f>'Current Distribution with Roth'!AB29-'Current Distribution'!AB24</f>
        <v>0</v>
      </c>
      <c r="X22" s="21">
        <f>'Current Distribution with Roth'!AC29-'Current Distribution'!AC24</f>
        <v>0</v>
      </c>
      <c r="Y22" s="21">
        <f>'Current Distribution with Roth'!AD29-'Current Distribution'!AD24</f>
        <v>0</v>
      </c>
      <c r="Z22" s="21">
        <f>'Current Distribution with Roth'!AE29-'Current Distribution'!AE24</f>
        <v>0</v>
      </c>
      <c r="AA22" s="21">
        <f>'Current Distribution with Roth'!AF29-'Current Distribution'!AF24</f>
        <v>0</v>
      </c>
      <c r="AB22" s="21">
        <f>'Current Distribution with Roth'!AG29-'Current Distribution'!AG24</f>
        <v>0</v>
      </c>
      <c r="AC22" s="21">
        <f>'Current Distribution with Roth'!AH29-'Current Distribution'!AH24</f>
        <v>0</v>
      </c>
      <c r="AD22" s="21">
        <f>'Current Distribution with Roth'!AI29-'Current Distribution'!AI24</f>
        <v>0</v>
      </c>
      <c r="AE22" s="21"/>
      <c r="AF22" s="21"/>
      <c r="AG22" s="21"/>
      <c r="AH22" s="21"/>
      <c r="AI22" s="21"/>
      <c r="AJ22" s="27"/>
      <c r="AK22"/>
      <c r="AL22" s="51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 s="32"/>
    </row>
    <row r="23" spans="1:522" s="10" customFormat="1" x14ac:dyDescent="0.2">
      <c r="A23" s="10" t="s">
        <v>32</v>
      </c>
      <c r="C23" s="13">
        <f>'Current Distribution with Roth'!H31-'Current Distribution'!H26</f>
        <v>0</v>
      </c>
      <c r="D23" s="13">
        <f>'Current Distribution with Roth'!I31-'Current Distribution'!I26</f>
        <v>0</v>
      </c>
      <c r="E23" s="13">
        <f>'Current Distribution with Roth'!J31-'Current Distribution'!J26</f>
        <v>0</v>
      </c>
      <c r="F23" s="13">
        <f>'Current Distribution with Roth'!K31-'Current Distribution'!K26</f>
        <v>0</v>
      </c>
      <c r="G23" s="13">
        <f>'Current Distribution with Roth'!L31-'Current Distribution'!L26</f>
        <v>0</v>
      </c>
      <c r="H23" s="13">
        <f>'Current Distribution with Roth'!M31-'Current Distribution'!M26</f>
        <v>0</v>
      </c>
      <c r="I23" s="13">
        <f>'Current Distribution with Roth'!N31-'Current Distribution'!N26</f>
        <v>0</v>
      </c>
      <c r="J23" s="13">
        <f>'Current Distribution with Roth'!O31-'Current Distribution'!O26</f>
        <v>0</v>
      </c>
      <c r="K23" s="13">
        <f>'Current Distribution with Roth'!P31-'Current Distribution'!P26</f>
        <v>0</v>
      </c>
      <c r="L23" s="13">
        <f>'Current Distribution with Roth'!Q31-'Current Distribution'!Q26</f>
        <v>0</v>
      </c>
      <c r="M23" s="13">
        <f>'Current Distribution with Roth'!R31-'Current Distribution'!R26</f>
        <v>0</v>
      </c>
      <c r="N23" s="13">
        <f>'Current Distribution with Roth'!S31-'Current Distribution'!S26</f>
        <v>0</v>
      </c>
      <c r="O23" s="13">
        <f>'Current Distribution with Roth'!T31-'Current Distribution'!T26</f>
        <v>0</v>
      </c>
      <c r="P23" s="13">
        <f>'Current Distribution with Roth'!U31-'Current Distribution'!U26</f>
        <v>0</v>
      </c>
      <c r="Q23" s="13">
        <f>'Current Distribution with Roth'!V31-'Current Distribution'!V26</f>
        <v>0</v>
      </c>
      <c r="R23" s="13">
        <f>'Current Distribution with Roth'!W31-'Current Distribution'!W26</f>
        <v>0</v>
      </c>
      <c r="S23" s="13">
        <f>'Current Distribution with Roth'!X31-'Current Distribution'!X26</f>
        <v>0</v>
      </c>
      <c r="T23" s="13">
        <f>'Current Distribution with Roth'!Y31-'Current Distribution'!Y26</f>
        <v>0</v>
      </c>
      <c r="U23" s="13">
        <f>'Current Distribution with Roth'!Z31-'Current Distribution'!Z26</f>
        <v>0</v>
      </c>
      <c r="V23" s="13">
        <f>'Current Distribution with Roth'!AA31-'Current Distribution'!AA26</f>
        <v>0</v>
      </c>
      <c r="W23" s="13">
        <f>'Current Distribution with Roth'!AB31-'Current Distribution'!AB26</f>
        <v>0</v>
      </c>
      <c r="X23" s="13">
        <f>'Current Distribution with Roth'!AC31-'Current Distribution'!AC26</f>
        <v>0</v>
      </c>
      <c r="Y23" s="13">
        <f>'Current Distribution with Roth'!AD31-'Current Distribution'!AD26</f>
        <v>0</v>
      </c>
      <c r="Z23" s="13">
        <f>'Current Distribution with Roth'!AE31-'Current Distribution'!AE26</f>
        <v>0</v>
      </c>
      <c r="AA23" s="13">
        <f>'Current Distribution with Roth'!AF31-'Current Distribution'!AF26</f>
        <v>0</v>
      </c>
      <c r="AB23" s="13">
        <f>'Current Distribution with Roth'!AG31-'Current Distribution'!AG26</f>
        <v>0</v>
      </c>
      <c r="AC23" s="13">
        <f>'Current Distribution with Roth'!AH31-'Current Distribution'!AH26</f>
        <v>0</v>
      </c>
      <c r="AD23" s="13">
        <f>'Current Distribution with Roth'!AI31-'Current Distribution'!AI26</f>
        <v>0</v>
      </c>
      <c r="AE23" s="13"/>
      <c r="AF23" s="13"/>
      <c r="AG23" s="13"/>
      <c r="AH23" s="13"/>
      <c r="AI23" s="13"/>
      <c r="AJ23" s="13"/>
      <c r="AK23" s="1"/>
      <c r="AL23" s="5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31"/>
    </row>
    <row r="24" spans="1:522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2"/>
      <c r="P24" s="2"/>
      <c r="Q24" s="2"/>
      <c r="R24" s="2"/>
      <c r="S24" s="2"/>
      <c r="T24" s="2"/>
      <c r="U24" s="2"/>
    </row>
    <row r="26" spans="1:522" x14ac:dyDescent="0.2">
      <c r="A26" s="1" t="s">
        <v>13</v>
      </c>
      <c r="C26" s="50"/>
    </row>
    <row r="27" spans="1:522" s="11" customFormat="1" x14ac:dyDescent="0.2">
      <c r="A27" s="8" t="s">
        <v>9</v>
      </c>
      <c r="B27" s="8"/>
      <c r="C27" s="9">
        <f>'Current Distribution with Roth'!H35-'Current Distribution'!H30</f>
        <v>0</v>
      </c>
      <c r="D27" s="9">
        <f>'Current Distribution with Roth'!I35-'Current Distribution'!I30</f>
        <v>0</v>
      </c>
      <c r="E27" s="9">
        <f>'Current Distribution with Roth'!J35-'Current Distribution'!J30</f>
        <v>0</v>
      </c>
      <c r="F27" s="9">
        <f>'Current Distribution with Roth'!K35-'Current Distribution'!K30</f>
        <v>190743.67479674792</v>
      </c>
      <c r="G27" s="9">
        <f>'Current Distribution with Roth'!L35-'Current Distribution'!L30</f>
        <v>393462.04757951351</v>
      </c>
      <c r="H27" s="9">
        <f>'Current Distribution with Roth'!M35-'Current Distribution'!M30</f>
        <v>609433.51261067356</v>
      </c>
      <c r="I27" s="9">
        <f>'Current Distribution with Roth'!N35-'Current Distribution'!N30</f>
        <v>839752.82850579801</v>
      </c>
      <c r="J27" s="9">
        <f>'Current Distribution with Roth'!O35-'Current Distribution'!O30</f>
        <v>1085771.6128539082</v>
      </c>
      <c r="K27" s="9">
        <f>'Current Distribution with Roth'!P35-'Current Distribution'!P30</f>
        <v>1287940.8548356425</v>
      </c>
      <c r="L27" s="9">
        <f>'Current Distribution with Roth'!Q35-'Current Distribution'!Q30</f>
        <v>1501829.263274332</v>
      </c>
      <c r="M27" s="9">
        <f>'Current Distribution with Roth'!R35-'Current Distribution'!R30</f>
        <v>1591939.0190707922</v>
      </c>
      <c r="N27" s="9">
        <f>'Current Distribution with Roth'!S35-'Current Distribution'!S30</f>
        <v>1687455.3602150397</v>
      </c>
      <c r="O27" s="9">
        <f>'Current Distribution with Roth'!T35-'Current Distribution'!T30</f>
        <v>1788702.6818279419</v>
      </c>
      <c r="P27" s="9">
        <f>'Current Distribution with Roth'!U35-'Current Distribution'!U30</f>
        <v>1896024.8427376188</v>
      </c>
      <c r="Q27" s="9">
        <f>'Current Distribution with Roth'!V35-'Current Distribution'!V30</f>
        <v>2009786.3333018757</v>
      </c>
      <c r="R27" s="9">
        <f>'Current Distribution with Roth'!W35-'Current Distribution'!W30</f>
        <v>2130373.5132999886</v>
      </c>
      <c r="S27" s="9">
        <f>'Current Distribution with Roth'!X35-'Current Distribution'!X30</f>
        <v>2258195.9240979878</v>
      </c>
      <c r="T27" s="9">
        <f>'Current Distribution with Roth'!Y35-'Current Distribution'!Y30</f>
        <v>2393687.6795438677</v>
      </c>
      <c r="U27" s="9">
        <f>'Current Distribution with Roth'!Z35-'Current Distribution'!Z30</f>
        <v>2537308.9403165001</v>
      </c>
      <c r="V27" s="9">
        <f>'Current Distribution with Roth'!AA35-'Current Distribution'!AA30</f>
        <v>2689547.4767354899</v>
      </c>
      <c r="W27" s="9">
        <f>'Current Distribution with Roth'!AB35-'Current Distribution'!AB30</f>
        <v>2850920.3253396195</v>
      </c>
      <c r="X27" s="9">
        <f>'Current Distribution with Roth'!AC35-'Current Distribution'!AC30</f>
        <v>3021975.544859997</v>
      </c>
      <c r="Y27" s="9">
        <f>'Current Distribution with Roth'!AD35-'Current Distribution'!AD30</f>
        <v>3203294.0775515968</v>
      </c>
      <c r="Z27" s="9">
        <f>'Current Distribution with Roth'!AE35-'Current Distribution'!AE30</f>
        <v>3395491.7222046927</v>
      </c>
      <c r="AA27" s="9">
        <f>'Current Distribution with Roth'!AF35-'Current Distribution'!AF30</f>
        <v>3599221.2255369746</v>
      </c>
      <c r="AB27" s="9">
        <f>'Current Distribution with Roth'!AG35-'Current Distribution'!AG30</f>
        <v>3815174.4990691934</v>
      </c>
      <c r="AC27" s="9">
        <f>'Current Distribution with Roth'!AH35-'Current Distribution'!AH30</f>
        <v>4044084.969013345</v>
      </c>
      <c r="AD27" s="9">
        <f>'Current Distribution with Roth'!AI35-'Current Distribution'!AI30</f>
        <v>4286730.0671541458</v>
      </c>
      <c r="AE27" s="9"/>
      <c r="AF27" s="9"/>
      <c r="AG27" s="9"/>
      <c r="AH27" s="9"/>
      <c r="AI27" s="9"/>
      <c r="AJ27" s="9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</row>
    <row r="28" spans="1:522" s="12" customFormat="1" x14ac:dyDescent="0.2">
      <c r="A28" s="8" t="s">
        <v>7</v>
      </c>
      <c r="B28" s="8"/>
      <c r="C28" s="9">
        <f>'Current Distribution with Roth'!H36-'Current Distribution'!H31</f>
        <v>0</v>
      </c>
      <c r="D28" s="9">
        <f>'Current Distribution with Roth'!I36-'Current Distribution'!I31</f>
        <v>0</v>
      </c>
      <c r="E28" s="9">
        <f>'Current Distribution with Roth'!J36-'Current Distribution'!J31</f>
        <v>0</v>
      </c>
      <c r="F28" s="9">
        <f>'Current Distribution with Roth'!K36-'Current Distribution'!K31</f>
        <v>0</v>
      </c>
      <c r="G28" s="9">
        <f>'Current Distribution with Roth'!L36-'Current Distribution'!L31</f>
        <v>0</v>
      </c>
      <c r="H28" s="9">
        <f>'Current Distribution with Roth'!M36-'Current Distribution'!M31</f>
        <v>0</v>
      </c>
      <c r="I28" s="9">
        <f>'Current Distribution with Roth'!N36-'Current Distribution'!N31</f>
        <v>0</v>
      </c>
      <c r="J28" s="9">
        <f>'Current Distribution with Roth'!O36-'Current Distribution'!O31</f>
        <v>0</v>
      </c>
      <c r="K28" s="9">
        <f>'Current Distribution with Roth'!P36-'Current Distribution'!P31</f>
        <v>0</v>
      </c>
      <c r="L28" s="9">
        <f>'Current Distribution with Roth'!Q36-'Current Distribution'!Q31</f>
        <v>0</v>
      </c>
      <c r="M28" s="9">
        <f>'Current Distribution with Roth'!R36-'Current Distribution'!R31</f>
        <v>0</v>
      </c>
      <c r="N28" s="9">
        <f>'Current Distribution with Roth'!S36-'Current Distribution'!S31</f>
        <v>0</v>
      </c>
      <c r="O28" s="9">
        <f>'Current Distribution with Roth'!T36-'Current Distribution'!T31</f>
        <v>0</v>
      </c>
      <c r="P28" s="9">
        <f>'Current Distribution with Roth'!U36-'Current Distribution'!U31</f>
        <v>0</v>
      </c>
      <c r="Q28" s="9">
        <f>'Current Distribution with Roth'!V36-'Current Distribution'!V31</f>
        <v>0</v>
      </c>
      <c r="R28" s="9">
        <f>'Current Distribution with Roth'!W36-'Current Distribution'!W31</f>
        <v>0</v>
      </c>
      <c r="S28" s="9">
        <f>'Current Distribution with Roth'!X36-'Current Distribution'!X31</f>
        <v>0</v>
      </c>
      <c r="T28" s="9">
        <f>'Current Distribution with Roth'!Y36-'Current Distribution'!Y31</f>
        <v>0</v>
      </c>
      <c r="U28" s="9">
        <f>'Current Distribution with Roth'!Z36-'Current Distribution'!Z31</f>
        <v>0</v>
      </c>
      <c r="V28" s="9">
        <f>'Current Distribution with Roth'!AA36-'Current Distribution'!AA31</f>
        <v>0</v>
      </c>
      <c r="W28" s="9">
        <f>'Current Distribution with Roth'!AB36-'Current Distribution'!AB31</f>
        <v>0</v>
      </c>
      <c r="X28" s="9">
        <f>'Current Distribution with Roth'!AC36-'Current Distribution'!AC31</f>
        <v>0</v>
      </c>
      <c r="Y28" s="9">
        <f>'Current Distribution with Roth'!AD36-'Current Distribution'!AD31</f>
        <v>0</v>
      </c>
      <c r="Z28" s="9">
        <f>'Current Distribution with Roth'!AE36-'Current Distribution'!AE31</f>
        <v>0</v>
      </c>
      <c r="AA28" s="9">
        <f>'Current Distribution with Roth'!AF36-'Current Distribution'!AF31</f>
        <v>0</v>
      </c>
      <c r="AB28" s="9">
        <f>'Current Distribution with Roth'!AG36-'Current Distribution'!AG31</f>
        <v>0</v>
      </c>
      <c r="AC28" s="9">
        <f>'Current Distribution with Roth'!AH36-'Current Distribution'!AH31</f>
        <v>0</v>
      </c>
      <c r="AD28" s="9">
        <f>'Current Distribution with Roth'!AI36-'Current Distribution'!AI31</f>
        <v>0</v>
      </c>
      <c r="AE28" s="9"/>
      <c r="AF28" s="9"/>
      <c r="AG28" s="9"/>
      <c r="AH28" s="9"/>
      <c r="AI28" s="9"/>
      <c r="AJ28" s="9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</row>
    <row r="29" spans="1:522" s="11" customFormat="1" x14ac:dyDescent="0.2">
      <c r="A29" s="8" t="s">
        <v>8</v>
      </c>
      <c r="B29" s="8"/>
      <c r="C29" s="9">
        <f>'Current Distribution with Roth'!H37-'Current Distribution'!H32</f>
        <v>0</v>
      </c>
      <c r="D29" s="9">
        <f>'Current Distribution with Roth'!I37-'Current Distribution'!I32</f>
        <v>0</v>
      </c>
      <c r="E29" s="9">
        <f>'Current Distribution with Roth'!J37-'Current Distribution'!J32</f>
        <v>0</v>
      </c>
      <c r="F29" s="9">
        <f>'Current Distribution with Roth'!K37-'Current Distribution'!K32</f>
        <v>-190743.67479674798</v>
      </c>
      <c r="G29" s="9">
        <f>'Current Distribution with Roth'!L37-'Current Distribution'!L32</f>
        <v>-393462.04757951351</v>
      </c>
      <c r="H29" s="9">
        <f>'Current Distribution with Roth'!M37-'Current Distribution'!M32</f>
        <v>-609433.51261067367</v>
      </c>
      <c r="I29" s="9">
        <f>'Current Distribution with Roth'!N37-'Current Distribution'!N32</f>
        <v>-839752.82850579801</v>
      </c>
      <c r="J29" s="9">
        <f>'Current Distribution with Roth'!O37-'Current Distribution'!O32</f>
        <v>-1085771.6128539084</v>
      </c>
      <c r="K29" s="9">
        <f>'Current Distribution with Roth'!P37-'Current Distribution'!P32</f>
        <v>-1287940.8548356427</v>
      </c>
      <c r="L29" s="9">
        <f>'Current Distribution with Roth'!Q37-'Current Distribution'!Q32</f>
        <v>-1501829.2632743325</v>
      </c>
      <c r="M29" s="9">
        <f>'Current Distribution with Roth'!R37-'Current Distribution'!R32</f>
        <v>-1591939.0190707925</v>
      </c>
      <c r="N29" s="9">
        <f>'Current Distribution with Roth'!S37-'Current Distribution'!S32</f>
        <v>-1627382.1896840667</v>
      </c>
      <c r="O29" s="9">
        <f>'Current Distribution with Roth'!T37-'Current Distribution'!T32</f>
        <v>-1661206.2116657356</v>
      </c>
      <c r="P29" s="9">
        <f>'Current Distribution with Roth'!U37-'Current Distribution'!U32</f>
        <v>-1693349.8765743899</v>
      </c>
      <c r="Q29" s="9">
        <f>'Current Distribution with Roth'!V37-'Current Distribution'!V32</f>
        <v>-1723501.5072880771</v>
      </c>
      <c r="R29" s="9">
        <f>'Current Distribution with Roth'!W37-'Current Distribution'!W32</f>
        <v>-1751649.5231712975</v>
      </c>
      <c r="S29" s="9">
        <f>'Current Distribution with Roth'!X37-'Current Distribution'!X32</f>
        <v>-1777128.0616901526</v>
      </c>
      <c r="T29" s="9">
        <f>'Current Distribution with Roth'!Y37-'Current Distribution'!Y32</f>
        <v>-1799531.6666384742</v>
      </c>
      <c r="U29" s="9">
        <f>'Current Distribution with Roth'!Z37-'Current Distribution'!Z32</f>
        <v>-1818417.8405655711</v>
      </c>
      <c r="V29" s="9">
        <f>'Current Distribution with Roth'!AA37-'Current Distribution'!AA32</f>
        <v>-1833790.0326198367</v>
      </c>
      <c r="W29" s="9">
        <f>'Current Distribution with Roth'!AB37-'Current Distribution'!AB32</f>
        <v>-1844693.6490300088</v>
      </c>
      <c r="X29" s="9">
        <f>'Current Distribution with Roth'!AC37-'Current Distribution'!AC32</f>
        <v>-1851155.2878006224</v>
      </c>
      <c r="Y29" s="9">
        <f>'Current Distribution with Roth'!AD37-'Current Distribution'!AD32</f>
        <v>-1852036.790318623</v>
      </c>
      <c r="Z29" s="9">
        <f>'Current Distribution with Roth'!AE37-'Current Distribution'!AE32</f>
        <v>-1847406.6983428265</v>
      </c>
      <c r="AA29" s="9">
        <f>'Current Distribution with Roth'!AF37-'Current Distribution'!AF32</f>
        <v>-1836711.1858787367</v>
      </c>
      <c r="AB29" s="9">
        <f>'Current Distribution with Roth'!AG37-'Current Distribution'!AG32</f>
        <v>-1819364.4691232154</v>
      </c>
      <c r="AC29" s="9">
        <f>'Current Distribution with Roth'!AH37-'Current Distribution'!AH32</f>
        <v>-1795726.0110572348</v>
      </c>
      <c r="AD29" s="9">
        <f>'Current Distribution with Roth'!AI37-'Current Distribution'!AI32</f>
        <v>-1764266.0049720462</v>
      </c>
      <c r="AE29" s="9"/>
      <c r="AF29" s="9"/>
      <c r="AG29" s="9"/>
      <c r="AH29" s="9"/>
      <c r="AI29" s="9"/>
      <c r="AJ29" s="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</row>
    <row r="30" spans="1:522" s="11" customFormat="1" x14ac:dyDescent="0.2">
      <c r="A30" s="8" t="s">
        <v>34</v>
      </c>
      <c r="B30" s="8"/>
      <c r="C30" s="9">
        <f>'Current Distribution with Roth'!H38-'Current Distribution'!H33</f>
        <v>0</v>
      </c>
      <c r="D30" s="9">
        <f>'Current Distribution with Roth'!I38-'Current Distribution'!I33</f>
        <v>0</v>
      </c>
      <c r="E30" s="9">
        <f>'Current Distribution with Roth'!J38-'Current Distribution'!J33</f>
        <v>0</v>
      </c>
      <c r="F30" s="9">
        <f>'Current Distribution with Roth'!K38-'Current Distribution'!K33</f>
        <v>-39651.20894308947</v>
      </c>
      <c r="G30" s="9">
        <f>'Current Distribution with Roth'!L38-'Current Distribution'!L33</f>
        <v>-82361.911148475483</v>
      </c>
      <c r="H30" s="9">
        <f>'Current Distribution with Roth'!M38-'Current Distribution'!M33</f>
        <v>-128584.19632222853</v>
      </c>
      <c r="I30" s="9">
        <f>'Current Distribution with Roth'!N38-'Current Distribution'!N33</f>
        <v>-178736.35556276352</v>
      </c>
      <c r="J30" s="9">
        <f>'Current Distribution with Roth'!O38-'Current Distribution'!O33</f>
        <v>-233325.54209164437</v>
      </c>
      <c r="K30" s="9">
        <f>'Current Distribution with Roth'!P38-'Current Distribution'!P33</f>
        <v>-275826.86258989852</v>
      </c>
      <c r="L30" s="9">
        <f>'Current Distribution with Roth'!Q38-'Current Distribution'!Q33</f>
        <v>-321433.66145160538</v>
      </c>
      <c r="M30" s="9">
        <f>'Current Distribution with Roth'!R38-'Current Distribution'!R33</f>
        <v>-329588.77472769027</v>
      </c>
      <c r="N30" s="9">
        <f>'Current Distribution with Roth'!S38-'Current Distribution'!S33</f>
        <v>-380798.24143584445</v>
      </c>
      <c r="O30" s="9">
        <f>'Current Distribution with Roth'!T38-'Current Distribution'!T33</f>
        <v>-438955.66455620225</v>
      </c>
      <c r="P30" s="9">
        <f>'Current Distribution with Roth'!U38-'Current Distribution'!U33</f>
        <v>-503405.71010317258</v>
      </c>
      <c r="Q30" s="9">
        <f>'Current Distribution with Roth'!V38-'Current Distribution'!V33</f>
        <v>-573884.68480101647</v>
      </c>
      <c r="R30" s="9">
        <f>'Current Distribution with Roth'!W38-'Current Distribution'!W33</f>
        <v>-650342.43092099484</v>
      </c>
      <c r="S30" s="9">
        <f>'Current Distribution with Roth'!X38-'Current Distribution'!X33</f>
        <v>-734051.0545073566</v>
      </c>
      <c r="T30" s="9">
        <f>'Current Distribution with Roth'!Y38-'Current Distribution'!Y33</f>
        <v>-825743.18003710406</v>
      </c>
      <c r="U30" s="9">
        <f>'Current Distribution with Roth'!Z38-'Current Distribution'!Z33</f>
        <v>-926028.88291034196</v>
      </c>
      <c r="V30" s="9">
        <f>'Current Distribution with Roth'!AA38-'Current Distribution'!AA33</f>
        <v>-1035252.1904224136</v>
      </c>
      <c r="W30" s="9">
        <f>'Current Distribution with Roth'!AB38-'Current Distribution'!AB33</f>
        <v>-1148974.8520362263</v>
      </c>
      <c r="X30" s="9">
        <f>'Current Distribution with Roth'!AC38-'Current Distribution'!AC33</f>
        <v>-1261836.7228749921</v>
      </c>
      <c r="Y30" s="9">
        <f>'Current Distribution with Roth'!AD38-'Current Distribution'!AD33</f>
        <v>-1373424.4399101867</v>
      </c>
      <c r="Z30" s="9">
        <f>'Current Distribution with Roth'!AE38-'Current Distribution'!AE33</f>
        <v>-1484094.4589797896</v>
      </c>
      <c r="AA30" s="9">
        <f>'Current Distribution with Roth'!AF38-'Current Distribution'!AF33</f>
        <v>-1601422.5227389999</v>
      </c>
      <c r="AB30" s="9">
        <f>'Current Distribution with Roth'!AG38-'Current Distribution'!AG33</f>
        <v>-1726921.5661725795</v>
      </c>
      <c r="AC30" s="9">
        <f>'Current Distribution with Roth'!AH38-'Current Distribution'!AH33</f>
        <v>-1861127.0998949434</v>
      </c>
      <c r="AD30" s="9">
        <f>'Current Distribution with Roth'!AI38-'Current Distribution'!AI33</f>
        <v>-2004608.5752307295</v>
      </c>
      <c r="AE30" s="9"/>
      <c r="AF30" s="9"/>
      <c r="AG30" s="9"/>
      <c r="AH30" s="9"/>
      <c r="AI30" s="9"/>
      <c r="AJ30" s="9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</row>
    <row r="31" spans="1:522" s="11" customFormat="1" x14ac:dyDescent="0.2">
      <c r="A31" s="8" t="s">
        <v>35</v>
      </c>
      <c r="B31" s="8"/>
      <c r="C31" s="9">
        <f>'Current Distribution with Roth'!H39-'Current Distribution'!H34</f>
        <v>0</v>
      </c>
      <c r="D31" s="9">
        <f>'Current Distribution with Roth'!I39-'Current Distribution'!I34</f>
        <v>0</v>
      </c>
      <c r="E31" s="9">
        <f>'Current Distribution with Roth'!J39-'Current Distribution'!J34</f>
        <v>0</v>
      </c>
      <c r="F31" s="9">
        <f>'Current Distribution with Roth'!K39-'Current Distribution'!K34</f>
        <v>0</v>
      </c>
      <c r="G31" s="9">
        <f>'Current Distribution with Roth'!L39-'Current Distribution'!L34</f>
        <v>0</v>
      </c>
      <c r="H31" s="9">
        <f>'Current Distribution with Roth'!M39-'Current Distribution'!M34</f>
        <v>0</v>
      </c>
      <c r="I31" s="9">
        <f>'Current Distribution with Roth'!N39-'Current Distribution'!N34</f>
        <v>0</v>
      </c>
      <c r="J31" s="9">
        <f>'Current Distribution with Roth'!O39-'Current Distribution'!O34</f>
        <v>0</v>
      </c>
      <c r="K31" s="9">
        <f>'Current Distribution with Roth'!P39-'Current Distribution'!P34</f>
        <v>0</v>
      </c>
      <c r="L31" s="9">
        <f>'Current Distribution with Roth'!Q39-'Current Distribution'!Q34</f>
        <v>0</v>
      </c>
      <c r="M31" s="9">
        <f>'Current Distribution with Roth'!R39-'Current Distribution'!R34</f>
        <v>0</v>
      </c>
      <c r="N31" s="9">
        <f>'Current Distribution with Roth'!S39-'Current Distribution'!S34</f>
        <v>0</v>
      </c>
      <c r="O31" s="9">
        <f>'Current Distribution with Roth'!T39-'Current Distribution'!T34</f>
        <v>0</v>
      </c>
      <c r="P31" s="9">
        <f>'Current Distribution with Roth'!U39-'Current Distribution'!U34</f>
        <v>0</v>
      </c>
      <c r="Q31" s="9">
        <f>'Current Distribution with Roth'!V39-'Current Distribution'!V34</f>
        <v>0</v>
      </c>
      <c r="R31" s="9">
        <f>'Current Distribution with Roth'!W39-'Current Distribution'!W34</f>
        <v>0</v>
      </c>
      <c r="S31" s="9">
        <f>'Current Distribution with Roth'!X39-'Current Distribution'!X34</f>
        <v>0</v>
      </c>
      <c r="T31" s="9">
        <f>'Current Distribution with Roth'!Y39-'Current Distribution'!Y34</f>
        <v>0</v>
      </c>
      <c r="U31" s="9">
        <f>'Current Distribution with Roth'!Z39-'Current Distribution'!Z34</f>
        <v>0</v>
      </c>
      <c r="V31" s="9">
        <f>'Current Distribution with Roth'!AA39-'Current Distribution'!AA34</f>
        <v>0</v>
      </c>
      <c r="W31" s="9">
        <f>'Current Distribution with Roth'!AB39-'Current Distribution'!AB34</f>
        <v>0</v>
      </c>
      <c r="X31" s="9">
        <f>'Current Distribution with Roth'!AC39-'Current Distribution'!AC34</f>
        <v>0</v>
      </c>
      <c r="Y31" s="9">
        <f>'Current Distribution with Roth'!AD39-'Current Distribution'!AD34</f>
        <v>0</v>
      </c>
      <c r="Z31" s="9">
        <f>'Current Distribution with Roth'!AE39-'Current Distribution'!AE34</f>
        <v>0</v>
      </c>
      <c r="AA31" s="9">
        <f>'Current Distribution with Roth'!AF39-'Current Distribution'!AF34</f>
        <v>0</v>
      </c>
      <c r="AB31" s="9">
        <f>'Current Distribution with Roth'!AG39-'Current Distribution'!AG34</f>
        <v>0</v>
      </c>
      <c r="AC31" s="9">
        <f>'Current Distribution with Roth'!AH39-'Current Distribution'!AH34</f>
        <v>0</v>
      </c>
      <c r="AD31" s="9">
        <f>'Current Distribution with Roth'!AI39-'Current Distribution'!AI34</f>
        <v>0</v>
      </c>
      <c r="AE31" s="9"/>
      <c r="AF31" s="9"/>
      <c r="AG31" s="9"/>
      <c r="AH31" s="9"/>
      <c r="AI31" s="9"/>
      <c r="AJ31" s="9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</row>
    <row r="32" spans="1:522" s="14" customFormat="1" x14ac:dyDescent="0.2">
      <c r="A32" s="10" t="s">
        <v>14</v>
      </c>
      <c r="B32" s="10"/>
      <c r="C32" s="13">
        <f>'Current Distribution with Roth'!H40-'Current Distribution'!H35</f>
        <v>0</v>
      </c>
      <c r="D32" s="13">
        <f>'Current Distribution with Roth'!I40-'Current Distribution'!I35</f>
        <v>0</v>
      </c>
      <c r="E32" s="13">
        <f>'Current Distribution with Roth'!J40-'Current Distribution'!J35</f>
        <v>0</v>
      </c>
      <c r="F32" s="13">
        <f>'Current Distribution with Roth'!K40-'Current Distribution'!K35</f>
        <v>-39651.20894308947</v>
      </c>
      <c r="G32" s="13">
        <f>'Current Distribution with Roth'!L40-'Current Distribution'!L35</f>
        <v>-82361.911148475483</v>
      </c>
      <c r="H32" s="13">
        <f>'Current Distribution with Roth'!M40-'Current Distribution'!M35</f>
        <v>-128584.19632222876</v>
      </c>
      <c r="I32" s="13">
        <f>'Current Distribution with Roth'!N40-'Current Distribution'!N35</f>
        <v>-178736.35556276422</v>
      </c>
      <c r="J32" s="13">
        <f>'Current Distribution with Roth'!O40-'Current Distribution'!O35</f>
        <v>-233325.54209164437</v>
      </c>
      <c r="K32" s="13">
        <f>'Current Distribution with Roth'!P40-'Current Distribution'!P35</f>
        <v>-275826.86258989945</v>
      </c>
      <c r="L32" s="13">
        <f>'Current Distribution with Roth'!Q40-'Current Distribution'!Q35</f>
        <v>-321433.66145160608</v>
      </c>
      <c r="M32" s="13">
        <f>'Current Distribution with Roth'!R40-'Current Distribution'!R35</f>
        <v>-329588.77472769003</v>
      </c>
      <c r="N32" s="13">
        <f>'Current Distribution with Roth'!S40-'Current Distribution'!S35</f>
        <v>-320725.07090487145</v>
      </c>
      <c r="O32" s="13">
        <f>'Current Distribution with Roth'!T40-'Current Distribution'!T35</f>
        <v>-311459.19439399615</v>
      </c>
      <c r="P32" s="13">
        <f>'Current Distribution with Roth'!U40-'Current Distribution'!U35</f>
        <v>-300730.74393994361</v>
      </c>
      <c r="Q32" s="13">
        <f>'Current Distribution with Roth'!V40-'Current Distribution'!V35</f>
        <v>-287599.85878721811</v>
      </c>
      <c r="R32" s="13">
        <f>'Current Distribution with Roth'!W40-'Current Distribution'!W35</f>
        <v>-271618.4407923054</v>
      </c>
      <c r="S32" s="13">
        <f>'Current Distribution with Roth'!X40-'Current Distribution'!X35</f>
        <v>-252983.19209952094</v>
      </c>
      <c r="T32" s="13">
        <f>'Current Distribution with Roth'!Y40-'Current Distribution'!Y35</f>
        <v>-231587.1671317108</v>
      </c>
      <c r="U32" s="13">
        <f>'Current Distribution with Roth'!Z40-'Current Distribution'!Z35</f>
        <v>-207137.78315941337</v>
      </c>
      <c r="V32" s="13">
        <f>'Current Distribution with Roth'!AA40-'Current Distribution'!AA35</f>
        <v>-179494.74630676024</v>
      </c>
      <c r="W32" s="13">
        <f>'Current Distribution with Roth'!AB40-'Current Distribution'!AB35</f>
        <v>-142748.17572661489</v>
      </c>
      <c r="X32" s="13">
        <f>'Current Distribution with Roth'!AC40-'Current Distribution'!AC35</f>
        <v>-91016.465815616772</v>
      </c>
      <c r="Y32" s="13">
        <f>'Current Distribution with Roth'!AD40-'Current Distribution'!AD35</f>
        <v>-22167.152677213773</v>
      </c>
      <c r="Z32" s="13">
        <f>'Current Distribution with Roth'!AE40-'Current Distribution'!AE35</f>
        <v>63990.564882075414</v>
      </c>
      <c r="AA32" s="13">
        <f>'Current Distribution with Roth'!AF40-'Current Distribution'!AF35</f>
        <v>161087.51691923663</v>
      </c>
      <c r="AB32" s="13">
        <f>'Current Distribution with Roth'!AG40-'Current Distribution'!AG35</f>
        <v>268888.46377339587</v>
      </c>
      <c r="AC32" s="13">
        <f>'Current Distribution with Roth'!AH40-'Current Distribution'!AH35</f>
        <v>387231.85806116648</v>
      </c>
      <c r="AD32" s="13">
        <f>'Current Distribution with Roth'!AI40-'Current Distribution'!AI35</f>
        <v>517855.48695136979</v>
      </c>
      <c r="AE32" s="13"/>
      <c r="AF32" s="13"/>
      <c r="AG32" s="13"/>
      <c r="AH32" s="13"/>
      <c r="AI32" s="13"/>
      <c r="AJ32" s="13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</row>
    <row r="34" spans="1:36" x14ac:dyDescent="0.2">
      <c r="A34" s="46" t="s">
        <v>25</v>
      </c>
      <c r="B34" s="46"/>
      <c r="C34" s="47">
        <f>'Current Distribution with Roth'!H42-'Current Distribution'!H37</f>
        <v>0</v>
      </c>
      <c r="D34" s="47">
        <f>'Current Distribution with Roth'!I42-'Current Distribution'!I37</f>
        <v>0</v>
      </c>
      <c r="E34" s="47">
        <f>'Current Distribution with Roth'!J42-'Current Distribution'!J37</f>
        <v>0</v>
      </c>
      <c r="F34" s="47">
        <f>'Current Distribution with Roth'!K42-'Current Distribution'!K37</f>
        <v>270743.67479674798</v>
      </c>
      <c r="G34" s="47">
        <f>'Current Distribution with Roth'!L42-'Current Distribution'!L37</f>
        <v>268855.57490309083</v>
      </c>
      <c r="H34" s="47">
        <f>'Current Distribution with Roth'!M42-'Current Distribution'!M37</f>
        <v>267019.45719704614</v>
      </c>
      <c r="I34" s="47">
        <f>'Current Distribution with Roth'!N42-'Current Distribution'!N37</f>
        <v>264920.56867291144</v>
      </c>
      <c r="J34" s="47">
        <f>'Current Distribution with Roth'!O42-'Current Distribution'!O37</f>
        <v>262703.55510802765</v>
      </c>
      <c r="K34" s="47">
        <f>'Current Distribution with Roth'!P42-'Current Distribution'!P37</f>
        <v>199330.29378406529</v>
      </c>
      <c r="L34" s="47">
        <f>'Current Distribution with Roth'!Q42-'Current Distribution'!Q37</f>
        <v>195871.68849073915</v>
      </c>
      <c r="M34" s="47">
        <f>'Current Distribution with Roth'!R42-'Current Distribution'!R37</f>
        <v>55654.532055056596</v>
      </c>
      <c r="N34" s="47">
        <f>'Current Distribution with Roth'!S42-'Current Distribution'!S37</f>
        <v>-6987.7747950312332</v>
      </c>
      <c r="O34" s="47">
        <f>'Current Distribution with Roth'!T42-'Current Distribution'!T37</f>
        <v>-12815.57529269025</v>
      </c>
      <c r="P34" s="47">
        <f>'Current Distribution with Roth'!U42-'Current Distribution'!U37</f>
        <v>-17313.702072327491</v>
      </c>
      <c r="Q34" s="47">
        <f>'Current Distribution with Roth'!V42-'Current Distribution'!V37</f>
        <v>-22307.34193564282</v>
      </c>
      <c r="R34" s="47">
        <f>'Current Distribution with Roth'!W42-'Current Distribution'!W37</f>
        <v>-26966.345487632847</v>
      </c>
      <c r="S34" s="47">
        <f>'Current Distribution with Roth'!X42-'Current Distribution'!X37</f>
        <v>-31947.26588804787</v>
      </c>
      <c r="T34" s="47">
        <f>'Current Distribution with Roth'!Y42-'Current Distribution'!Y37</f>
        <v>-36937.154687087459</v>
      </c>
      <c r="U34" s="47">
        <f>'Current Distribution with Roth'!Z42-'Current Distribution'!Z37</f>
        <v>-41916.051669726381</v>
      </c>
      <c r="V34" s="47">
        <f>'Current Distribution with Roth'!AA42-'Current Distribution'!AA37</f>
        <v>-46382.225100929034</v>
      </c>
      <c r="W34" s="47">
        <f>'Current Distribution with Roth'!AB42-'Current Distribution'!AB37</f>
        <v>-51307.522598028067</v>
      </c>
      <c r="X34" s="47">
        <f>'Current Distribution with Roth'!AC42-'Current Distribution'!AC37</f>
        <v>-55576.715520905447</v>
      </c>
      <c r="Y34" s="47">
        <f>'Current Distribution with Roth'!AD42-'Current Distribution'!AD37</f>
        <v>-60375.404539208743</v>
      </c>
      <c r="Z34" s="47">
        <f>'Current Distribution with Roth'!AE42-'Current Distribution'!AE37</f>
        <v>-64358.788824213319</v>
      </c>
      <c r="AA34" s="47">
        <f>'Current Distribution with Roth'!AF42-'Current Distribution'!AF37</f>
        <v>-68163.014386123163</v>
      </c>
      <c r="AB34" s="47">
        <f>'Current Distribution with Roth'!AG42-'Current Distribution'!AG37</f>
        <v>-72067.519803822739</v>
      </c>
      <c r="AC34" s="47">
        <f>'Current Distribution with Roth'!AH42-'Current Distribution'!AH37</f>
        <v>-75103.0905567843</v>
      </c>
      <c r="AD34" s="47">
        <f>'Current Distribution with Roth'!AI42-'Current Distribution'!AI37</f>
        <v>-79227.063669477706</v>
      </c>
      <c r="AE34" s="47"/>
      <c r="AF34" s="47"/>
      <c r="AG34" s="47"/>
      <c r="AH34" s="47"/>
      <c r="AI34" s="47"/>
      <c r="AJ34" s="47"/>
    </row>
    <row r="35" spans="1:36" x14ac:dyDescent="0.2">
      <c r="A35" s="46" t="s">
        <v>27</v>
      </c>
      <c r="B35" s="46"/>
      <c r="C35" s="47">
        <f>'Current Distribution with Roth'!H43-'Current Distribution'!H38</f>
        <v>0</v>
      </c>
      <c r="D35" s="47">
        <f>'Current Distribution with Roth'!I43-'Current Distribution'!I38</f>
        <v>0</v>
      </c>
      <c r="E35" s="47">
        <f>'Current Distribution with Roth'!J43-'Current Distribution'!J38</f>
        <v>0</v>
      </c>
      <c r="F35" s="47">
        <f>'Current Distribution with Roth'!K43-'Current Distribution'!K38</f>
        <v>0</v>
      </c>
      <c r="G35" s="47">
        <f>'Current Distribution with Roth'!L43-'Current Distribution'!L38</f>
        <v>0</v>
      </c>
      <c r="H35" s="47">
        <f>'Current Distribution with Roth'!M43-'Current Distribution'!M38</f>
        <v>0</v>
      </c>
      <c r="I35" s="47">
        <f>'Current Distribution with Roth'!N43-'Current Distribution'!N38</f>
        <v>0</v>
      </c>
      <c r="J35" s="47">
        <f>'Current Distribution with Roth'!O43-'Current Distribution'!O38</f>
        <v>0</v>
      </c>
      <c r="K35" s="47">
        <f>'Current Distribution with Roth'!P43-'Current Distribution'!P38</f>
        <v>0</v>
      </c>
      <c r="L35" s="47">
        <f>'Current Distribution with Roth'!Q43-'Current Distribution'!Q38</f>
        <v>0</v>
      </c>
      <c r="M35" s="47">
        <f>'Current Distribution with Roth'!R43-'Current Distribution'!R38</f>
        <v>0</v>
      </c>
      <c r="N35" s="47">
        <f>'Current Distribution with Roth'!S43-'Current Distribution'!S38</f>
        <v>0</v>
      </c>
      <c r="O35" s="47">
        <f>'Current Distribution with Roth'!T43-'Current Distribution'!T38</f>
        <v>0</v>
      </c>
      <c r="P35" s="47">
        <f>'Current Distribution with Roth'!U43-'Current Distribution'!U38</f>
        <v>0</v>
      </c>
      <c r="Q35" s="47">
        <f>'Current Distribution with Roth'!V43-'Current Distribution'!V38</f>
        <v>0</v>
      </c>
      <c r="R35" s="47">
        <f>'Current Distribution with Roth'!W43-'Current Distribution'!W38</f>
        <v>0</v>
      </c>
      <c r="S35" s="47">
        <f>'Current Distribution with Roth'!X43-'Current Distribution'!X38</f>
        <v>0</v>
      </c>
      <c r="T35" s="47">
        <f>'Current Distribution with Roth'!Y43-'Current Distribution'!Y38</f>
        <v>0</v>
      </c>
      <c r="U35" s="47">
        <f>'Current Distribution with Roth'!Z43-'Current Distribution'!Z38</f>
        <v>0</v>
      </c>
      <c r="V35" s="47">
        <f>'Current Distribution with Roth'!AA43-'Current Distribution'!AA38</f>
        <v>0</v>
      </c>
      <c r="W35" s="47">
        <f>'Current Distribution with Roth'!AB43-'Current Distribution'!AB38</f>
        <v>0</v>
      </c>
      <c r="X35" s="47">
        <f>'Current Distribution with Roth'!AC43-'Current Distribution'!AC38</f>
        <v>0</v>
      </c>
      <c r="Y35" s="47">
        <f>'Current Distribution with Roth'!AD43-'Current Distribution'!AD38</f>
        <v>0</v>
      </c>
      <c r="Z35" s="47">
        <f>'Current Distribution with Roth'!AE43-'Current Distribution'!AE38</f>
        <v>0</v>
      </c>
      <c r="AA35" s="47">
        <f>'Current Distribution with Roth'!AF43-'Current Distribution'!AF38</f>
        <v>0</v>
      </c>
      <c r="AB35" s="47">
        <f>'Current Distribution with Roth'!AG43-'Current Distribution'!AG38</f>
        <v>0</v>
      </c>
      <c r="AC35" s="47">
        <f>'Current Distribution with Roth'!AH43-'Current Distribution'!AH38</f>
        <v>0</v>
      </c>
      <c r="AD35" s="47">
        <f>'Current Distribution with Roth'!AI43-'Current Distribution'!AI38</f>
        <v>0</v>
      </c>
      <c r="AE35" s="47"/>
      <c r="AF35" s="47"/>
      <c r="AG35" s="47"/>
      <c r="AH35" s="47"/>
      <c r="AI35" s="47"/>
      <c r="AJ35" s="47"/>
    </row>
    <row r="36" spans="1:36" x14ac:dyDescent="0.2">
      <c r="A36" s="46" t="s">
        <v>26</v>
      </c>
      <c r="B36" s="46"/>
      <c r="C36" s="47">
        <f>'Current Distribution with Roth'!H44-'Current Distribution'!H39</f>
        <v>0</v>
      </c>
      <c r="D36" s="47">
        <f>'Current Distribution with Roth'!I44-'Current Distribution'!I39</f>
        <v>0</v>
      </c>
      <c r="E36" s="47">
        <f>'Current Distribution with Roth'!J44-'Current Distribution'!J39</f>
        <v>0</v>
      </c>
      <c r="F36" s="47">
        <f>'Current Distribution with Roth'!K44-'Current Distribution'!K39</f>
        <v>270743.67479674798</v>
      </c>
      <c r="G36" s="47">
        <f>'Current Distribution with Roth'!L44-'Current Distribution'!L39</f>
        <v>268855.57490309083</v>
      </c>
      <c r="H36" s="47">
        <f>'Current Distribution with Roth'!M44-'Current Distribution'!M39</f>
        <v>267019.45719704614</v>
      </c>
      <c r="I36" s="47">
        <f>'Current Distribution with Roth'!N44-'Current Distribution'!N39</f>
        <v>264920.56867291144</v>
      </c>
      <c r="J36" s="47">
        <f>'Current Distribution with Roth'!O44-'Current Distribution'!O39</f>
        <v>262703.55510802765</v>
      </c>
      <c r="K36" s="47">
        <f>'Current Distribution with Roth'!P44-'Current Distribution'!P39</f>
        <v>199330.29378406529</v>
      </c>
      <c r="L36" s="47">
        <f>'Current Distribution with Roth'!Q44-'Current Distribution'!Q39</f>
        <v>195871.68849073915</v>
      </c>
      <c r="M36" s="47">
        <f>'Current Distribution with Roth'!R44-'Current Distribution'!R39</f>
        <v>55654.532055056596</v>
      </c>
      <c r="N36" s="47">
        <f>'Current Distribution with Roth'!S44-'Current Distribution'!S39</f>
        <v>-6987.7747950312332</v>
      </c>
      <c r="O36" s="47">
        <f>'Current Distribution with Roth'!T44-'Current Distribution'!T39</f>
        <v>-12815.57529269025</v>
      </c>
      <c r="P36" s="47">
        <f>'Current Distribution with Roth'!U44-'Current Distribution'!U39</f>
        <v>-17313.702072327491</v>
      </c>
      <c r="Q36" s="47">
        <f>'Current Distribution with Roth'!V44-'Current Distribution'!V39</f>
        <v>-22307.34193564282</v>
      </c>
      <c r="R36" s="47">
        <f>'Current Distribution with Roth'!W44-'Current Distribution'!W39</f>
        <v>-26966.345487632847</v>
      </c>
      <c r="S36" s="47">
        <f>'Current Distribution with Roth'!X44-'Current Distribution'!X39</f>
        <v>-31947.26588804787</v>
      </c>
      <c r="T36" s="47">
        <f>'Current Distribution with Roth'!Y44-'Current Distribution'!Y39</f>
        <v>-36937.154687087459</v>
      </c>
      <c r="U36" s="47">
        <f>'Current Distribution with Roth'!Z44-'Current Distribution'!Z39</f>
        <v>-41916.051669726381</v>
      </c>
      <c r="V36" s="47">
        <f>'Current Distribution with Roth'!AA44-'Current Distribution'!AA39</f>
        <v>-46382.225100929034</v>
      </c>
      <c r="W36" s="47">
        <f>'Current Distribution with Roth'!AB44-'Current Distribution'!AB39</f>
        <v>-51307.522598028067</v>
      </c>
      <c r="X36" s="47">
        <f>'Current Distribution with Roth'!AC44-'Current Distribution'!AC39</f>
        <v>-55576.715520905447</v>
      </c>
      <c r="Y36" s="47">
        <f>'Current Distribution with Roth'!AD44-'Current Distribution'!AD39</f>
        <v>-60375.404539208743</v>
      </c>
      <c r="Z36" s="47">
        <f>'Current Distribution with Roth'!AE44-'Current Distribution'!AE39</f>
        <v>-64358.788824213319</v>
      </c>
      <c r="AA36" s="47">
        <f>'Current Distribution with Roth'!AF44-'Current Distribution'!AF39</f>
        <v>-68163.014386123163</v>
      </c>
      <c r="AB36" s="47">
        <f>'Current Distribution with Roth'!AG44-'Current Distribution'!AG39</f>
        <v>-72067.519803822739</v>
      </c>
      <c r="AC36" s="47">
        <f>'Current Distribution with Roth'!AH44-'Current Distribution'!AH39</f>
        <v>-75103.0905567843</v>
      </c>
      <c r="AD36" s="47">
        <f>'Current Distribution with Roth'!AI44-'Current Distribution'!AI39</f>
        <v>-79227.063669477706</v>
      </c>
      <c r="AE36" s="47"/>
      <c r="AF36" s="47"/>
      <c r="AG36" s="47"/>
      <c r="AH36" s="47"/>
      <c r="AI36" s="47"/>
      <c r="AJ36" s="47"/>
    </row>
    <row r="37" spans="1:36" x14ac:dyDescent="0.2">
      <c r="A37" s="46" t="s">
        <v>28</v>
      </c>
      <c r="B37" s="46"/>
      <c r="C37" s="47">
        <f>'Current Distribution with Roth'!H45-'Current Distribution'!H40</f>
        <v>0</v>
      </c>
      <c r="D37" s="47">
        <f>'Current Distribution with Roth'!I45-'Current Distribution'!I40</f>
        <v>0</v>
      </c>
      <c r="E37" s="47">
        <f>'Current Distribution with Roth'!J45-'Current Distribution'!J40</f>
        <v>0</v>
      </c>
      <c r="F37" s="47">
        <f>'Current Distribution with Roth'!K45-'Current Distribution'!K40</f>
        <v>63406.588455284553</v>
      </c>
      <c r="G37" s="47">
        <f>'Current Distribution with Roth'!L45-'Current Distribution'!L40</f>
        <v>62991.206478679975</v>
      </c>
      <c r="H37" s="47">
        <f>'Current Distribution with Roth'!M45-'Current Distribution'!M40</f>
        <v>62587.260583350144</v>
      </c>
      <c r="I37" s="47">
        <f>'Current Distribution with Roth'!N45-'Current Distribution'!N40</f>
        <v>62125.50510804051</v>
      </c>
      <c r="J37" s="47">
        <f>'Current Distribution with Roth'!O45-'Current Distribution'!O40</f>
        <v>61637.762123766079</v>
      </c>
      <c r="K37" s="47">
        <f>'Current Distribution with Roth'!P45-'Current Distribution'!P40</f>
        <v>47695.644632494354</v>
      </c>
      <c r="L37" s="47">
        <f>'Current Distribution with Roth'!Q45-'Current Distribution'!Q40</f>
        <v>46934.751467962604</v>
      </c>
      <c r="M37" s="47">
        <f>'Current Distribution with Roth'!R45-'Current Distribution'!R40</f>
        <v>13357.08769321358</v>
      </c>
      <c r="N37" s="47">
        <f>'Current Distribution with Roth'!S45-'Current Distribution'!S40</f>
        <v>-1677.0659508074896</v>
      </c>
      <c r="O37" s="47">
        <f>'Current Distribution with Roth'!T45-'Current Distribution'!T40</f>
        <v>-3075.7380702456576</v>
      </c>
      <c r="P37" s="47">
        <f>'Current Distribution with Roth'!U45-'Current Distribution'!U40</f>
        <v>-4155.2884973586042</v>
      </c>
      <c r="Q37" s="47">
        <f>'Current Distribution with Roth'!V45-'Current Distribution'!V40</f>
        <v>-6202.3084375823673</v>
      </c>
      <c r="R37" s="47">
        <f>'Current Distribution with Roth'!W45-'Current Distribution'!W40</f>
        <v>-8458.5955630225508</v>
      </c>
      <c r="S37" s="47">
        <f>'Current Distribution with Roth'!X45-'Current Distribution'!X40</f>
        <v>-10223.125084175321</v>
      </c>
      <c r="T37" s="47">
        <f>'Current Distribution with Roth'!Y45-'Current Distribution'!Y40</f>
        <v>-11819.889499867975</v>
      </c>
      <c r="U37" s="47">
        <f>'Current Distribution with Roth'!Z45-'Current Distribution'!Z40</f>
        <v>-13413.136534312434</v>
      </c>
      <c r="V37" s="47">
        <f>'Current Distribution with Roth'!AA45-'Current Distribution'!AA40</f>
        <v>-14842.312032297283</v>
      </c>
      <c r="W37" s="47">
        <f>'Current Distribution with Roth'!AB45-'Current Distribution'!AB40</f>
        <v>-16418.407231368983</v>
      </c>
      <c r="X37" s="47">
        <f>'Current Distribution with Roth'!AC45-'Current Distribution'!AC40</f>
        <v>-18277.492607086228</v>
      </c>
      <c r="Y37" s="47">
        <f>'Current Distribution with Roth'!AD45-'Current Distribution'!AD40</f>
        <v>-20378.422692947104</v>
      </c>
      <c r="Z37" s="47">
        <f>'Current Distribution with Roth'!AE45-'Current Distribution'!AE40</f>
        <v>-22182.759794613463</v>
      </c>
      <c r="AA37" s="47">
        <f>'Current Distribution with Roth'!AF45-'Current Distribution'!AF40</f>
        <v>-23857.055035143116</v>
      </c>
      <c r="AB37" s="47">
        <f>'Current Distribution with Roth'!AG45-'Current Distribution'!AG40</f>
        <v>-25223.63193133795</v>
      </c>
      <c r="AC37" s="47">
        <f>'Current Distribution with Roth'!AH45-'Current Distribution'!AH40</f>
        <v>-26286.08169487449</v>
      </c>
      <c r="AD37" s="47">
        <f>'Current Distribution with Roth'!AI45-'Current Distribution'!AI40</f>
        <v>-27729.472284317191</v>
      </c>
      <c r="AE37" s="47"/>
      <c r="AF37" s="47"/>
      <c r="AG37" s="47"/>
      <c r="AH37" s="47"/>
      <c r="AI37" s="47"/>
      <c r="AJ37" s="47"/>
    </row>
    <row r="38" spans="1:36" x14ac:dyDescent="0.2">
      <c r="A38" s="46" t="s">
        <v>24</v>
      </c>
      <c r="B38" s="46"/>
      <c r="C38" s="48">
        <f>'Current Distribution with Roth'!H46-'Current Distribution'!H41</f>
        <v>0</v>
      </c>
      <c r="D38" s="48">
        <f>'Current Distribution with Roth'!I46-'Current Distribution'!I41</f>
        <v>0</v>
      </c>
      <c r="E38" s="48">
        <f>'Current Distribution with Roth'!J46-'Current Distribution'!J41</f>
        <v>0</v>
      </c>
      <c r="F38" s="48">
        <f>'Current Distribution with Roth'!K46-'Current Distribution'!K41</f>
        <v>1.999999999999999E-2</v>
      </c>
      <c r="G38" s="48">
        <f>'Current Distribution with Roth'!L46-'Current Distribution'!L41</f>
        <v>1.999999999999999E-2</v>
      </c>
      <c r="H38" s="48">
        <f>'Current Distribution with Roth'!M46-'Current Distribution'!M41</f>
        <v>1.999999999999999E-2</v>
      </c>
      <c r="I38" s="48">
        <f>'Current Distribution with Roth'!N46-'Current Distribution'!N41</f>
        <v>1.999999999999999E-2</v>
      </c>
      <c r="J38" s="48">
        <f>'Current Distribution with Roth'!O46-'Current Distribution'!O41</f>
        <v>1.999999999999999E-2</v>
      </c>
      <c r="K38" s="48">
        <f>'Current Distribution with Roth'!P46-'Current Distribution'!P41</f>
        <v>1.999999999999999E-2</v>
      </c>
      <c r="L38" s="48">
        <f>'Current Distribution with Roth'!Q46-'Current Distribution'!Q41</f>
        <v>1.999999999999999E-2</v>
      </c>
      <c r="M38" s="48">
        <f>'Current Distribution with Roth'!R46-'Current Distribution'!R41</f>
        <v>0</v>
      </c>
      <c r="N38" s="48">
        <f>'Current Distribution with Roth'!S46-'Current Distribution'!S41</f>
        <v>0</v>
      </c>
      <c r="O38" s="48">
        <f>'Current Distribution with Roth'!T46-'Current Distribution'!T41</f>
        <v>0</v>
      </c>
      <c r="P38" s="48">
        <f>'Current Distribution with Roth'!U46-'Current Distribution'!U41</f>
        <v>0</v>
      </c>
      <c r="Q38" s="48">
        <f>'Current Distribution with Roth'!V46-'Current Distribution'!V41</f>
        <v>-8.0000000000000016E-2</v>
      </c>
      <c r="R38" s="48">
        <f>'Current Distribution with Roth'!W46-'Current Distribution'!W41</f>
        <v>-8.0000000000000016E-2</v>
      </c>
      <c r="S38" s="48">
        <f>'Current Distribution with Roth'!X46-'Current Distribution'!X41</f>
        <v>0</v>
      </c>
      <c r="T38" s="48">
        <f>'Current Distribution with Roth'!Y46-'Current Distribution'!Y41</f>
        <v>0</v>
      </c>
      <c r="U38" s="48">
        <f>'Current Distribution with Roth'!Z46-'Current Distribution'!Z41</f>
        <v>0</v>
      </c>
      <c r="V38" s="48">
        <f>'Current Distribution with Roth'!AA46-'Current Distribution'!AA41</f>
        <v>0</v>
      </c>
      <c r="W38" s="48">
        <f>'Current Distribution with Roth'!AB46-'Current Distribution'!AB41</f>
        <v>0</v>
      </c>
      <c r="X38" s="48">
        <f>'Current Distribution with Roth'!AC46-'Current Distribution'!AC41</f>
        <v>-2.9999999999999971E-2</v>
      </c>
      <c r="Y38" s="48">
        <f>'Current Distribution with Roth'!AD46-'Current Distribution'!AD41</f>
        <v>-2.9999999999999971E-2</v>
      </c>
      <c r="Z38" s="48">
        <f>'Current Distribution with Roth'!AE46-'Current Distribution'!AE41</f>
        <v>-2.9999999999999971E-2</v>
      </c>
      <c r="AA38" s="48">
        <f>'Current Distribution with Roth'!AF46-'Current Distribution'!AF41</f>
        <v>0</v>
      </c>
      <c r="AB38" s="48">
        <f>'Current Distribution with Roth'!AG46-'Current Distribution'!AG41</f>
        <v>0</v>
      </c>
      <c r="AC38" s="48">
        <f>'Current Distribution with Roth'!AH46-'Current Distribution'!AH41</f>
        <v>0</v>
      </c>
      <c r="AD38" s="48">
        <f>'Current Distribution with Roth'!AI46-'Current Distribution'!AI41</f>
        <v>0</v>
      </c>
      <c r="AE38" s="48"/>
      <c r="AF38" s="48"/>
      <c r="AG38" s="48"/>
      <c r="AH38" s="48"/>
      <c r="AI38" s="48"/>
      <c r="AJ38" s="48"/>
    </row>
    <row r="39" spans="1:36" x14ac:dyDescent="0.2">
      <c r="A39" s="46" t="s">
        <v>30</v>
      </c>
      <c r="B39" s="46"/>
      <c r="C39" s="48">
        <f>'Current Distribution with Roth'!H47-'Current Distribution'!H42</f>
        <v>0</v>
      </c>
      <c r="D39" s="48">
        <f>'Current Distribution with Roth'!I47-'Current Distribution'!I42</f>
        <v>0</v>
      </c>
      <c r="E39" s="48">
        <f>'Current Distribution with Roth'!J47-'Current Distribution'!J42</f>
        <v>0</v>
      </c>
      <c r="F39" s="48">
        <f>'Current Distribution with Roth'!K47-'Current Distribution'!K42</f>
        <v>6.2951397353659289E-2</v>
      </c>
      <c r="G39" s="48">
        <f>'Current Distribution with Roth'!L47-'Current Distribution'!L42</f>
        <v>6.1835081575437628E-2</v>
      </c>
      <c r="H39" s="48">
        <f>'Current Distribution with Roth'!M47-'Current Distribution'!M42</f>
        <v>6.0779111631733551E-2</v>
      </c>
      <c r="I39" s="48">
        <f>'Current Distribution with Roth'!N47-'Current Distribution'!N42</f>
        <v>5.9606282916442377E-2</v>
      </c>
      <c r="J39" s="48">
        <f>'Current Distribution with Roth'!O47-'Current Distribution'!O42</f>
        <v>5.8405408768986811E-2</v>
      </c>
      <c r="K39" s="48">
        <f>'Current Distribution with Roth'!P47-'Current Distribution'!P42</f>
        <v>3.5103419545754189E-2</v>
      </c>
      <c r="L39" s="48">
        <f>'Current Distribution with Roth'!Q47-'Current Distribution'!Q42</f>
        <v>3.4240952149045933E-2</v>
      </c>
      <c r="M39" s="48">
        <f>'Current Distribution with Roth'!R47-'Current Distribution'!R42</f>
        <v>1.4579478065218698E-2</v>
      </c>
      <c r="N39" s="48">
        <f>'Current Distribution with Roth'!S47-'Current Distribution'!S42</f>
        <v>-7.6127764292618916E-4</v>
      </c>
      <c r="O39" s="48">
        <f>'Current Distribution with Roth'!T47-'Current Distribution'!T42</f>
        <v>-1.3164383847977523E-3</v>
      </c>
      <c r="P39" s="48">
        <f>'Current Distribution with Roth'!U47-'Current Distribution'!U42</f>
        <v>-1.6763120550119248E-3</v>
      </c>
      <c r="Q39" s="48">
        <f>'Current Distribution with Roth'!V47-'Current Distribution'!V42</f>
        <v>-4.0837693982522516E-3</v>
      </c>
      <c r="R39" s="48">
        <f>'Current Distribution with Roth'!W47-'Current Distribution'!W42</f>
        <v>-6.9591411478016063E-3</v>
      </c>
      <c r="S39" s="48">
        <f>'Current Distribution with Roth'!X47-'Current Distribution'!X42</f>
        <v>-8.2342578371106534E-3</v>
      </c>
      <c r="T39" s="48">
        <f>'Current Distribution with Roth'!Y47-'Current Distribution'!Y42</f>
        <v>-8.9279024961675113E-3</v>
      </c>
      <c r="U39" s="48">
        <f>'Current Distribution with Roth'!Z47-'Current Distribution'!Z42</f>
        <v>-9.5106159057649631E-3</v>
      </c>
      <c r="V39" s="48">
        <f>'Current Distribution with Roth'!AA47-'Current Distribution'!AA42</f>
        <v>-9.9092552790988608E-3</v>
      </c>
      <c r="W39" s="48">
        <f>'Current Distribution with Roth'!AB47-'Current Distribution'!AB42</f>
        <v>-1.0266163337235679E-2</v>
      </c>
      <c r="X39" s="48">
        <f>'Current Distribution with Roth'!AC47-'Current Distribution'!AC42</f>
        <v>-1.1386592791847006E-2</v>
      </c>
      <c r="Y39" s="48">
        <f>'Current Distribution with Roth'!AD47-'Current Distribution'!AD42</f>
        <v>-1.2582554156904291E-2</v>
      </c>
      <c r="Z39" s="48">
        <f>'Current Distribution with Roth'!AE47-'Current Distribution'!AE42</f>
        <v>-1.3507060389656156E-2</v>
      </c>
      <c r="AA39" s="48">
        <f>'Current Distribution with Roth'!AF47-'Current Distribution'!AF42</f>
        <v>-1.4212527928680774E-2</v>
      </c>
      <c r="AB39" s="48">
        <f>'Current Distribution with Roth'!AG47-'Current Distribution'!AG42</f>
        <v>-1.4164654014082789E-2</v>
      </c>
      <c r="AC39" s="48">
        <f>'Current Distribution with Roth'!AH47-'Current Distribution'!AH42</f>
        <v>-1.4080063453406344E-2</v>
      </c>
      <c r="AD39" s="48">
        <f>'Current Distribution with Roth'!AI47-'Current Distribution'!AI42</f>
        <v>-1.4083738514396482E-2</v>
      </c>
      <c r="AE39" s="48"/>
      <c r="AF39" s="48"/>
      <c r="AG39" s="48"/>
      <c r="AH39" s="48"/>
      <c r="AI39" s="48"/>
      <c r="AJ39" s="48"/>
    </row>
    <row r="40" spans="1:36" x14ac:dyDescent="0.2">
      <c r="A40" s="46" t="s">
        <v>29</v>
      </c>
      <c r="B40" s="46"/>
      <c r="C40" s="49">
        <f>'Current Distribution with Roth'!H48-'Current Distribution'!H43</f>
        <v>0</v>
      </c>
      <c r="D40" s="49">
        <f>'Current Distribution with Roth'!I48-'Current Distribution'!I43</f>
        <v>0</v>
      </c>
      <c r="E40" s="49">
        <f>'Current Distribution with Roth'!J48-'Current Distribution'!J43</f>
        <v>0</v>
      </c>
      <c r="F40" s="49">
        <f>'Current Distribution with Roth'!K48-'Current Distribution'!K43</f>
        <v>16244.620487804877</v>
      </c>
      <c r="G40" s="49">
        <f>'Current Distribution with Roth'!L48-'Current Distribution'!L43</f>
        <v>16131.334494185448</v>
      </c>
      <c r="H40" s="49">
        <f>'Current Distribution with Roth'!M48-'Current Distribution'!M43</f>
        <v>16021.167431822769</v>
      </c>
      <c r="I40" s="49">
        <f>'Current Distribution with Roth'!N48-'Current Distribution'!N43</f>
        <v>15895.234120374687</v>
      </c>
      <c r="J40" s="49">
        <f>'Current Distribution with Roth'!O48-'Current Distribution'!O43</f>
        <v>15762.213306481659</v>
      </c>
      <c r="K40" s="49">
        <f>'Current Distribution with Roth'!P48-'Current Distribution'!P43</f>
        <v>11959.817627043918</v>
      </c>
      <c r="L40" s="49">
        <f>'Current Distribution with Roth'!Q48-'Current Distribution'!Q43</f>
        <v>11752.301309444349</v>
      </c>
      <c r="M40" s="49">
        <f>'Current Distribution with Roth'!R48-'Current Distribution'!R43</f>
        <v>3339.2719233033949</v>
      </c>
      <c r="N40" s="49">
        <f>'Current Distribution with Roth'!S48-'Current Distribution'!S43</f>
        <v>-419.26648770187603</v>
      </c>
      <c r="O40" s="49">
        <f>'Current Distribution with Roth'!T48-'Current Distribution'!T43</f>
        <v>-768.93451756141803</v>
      </c>
      <c r="P40" s="49">
        <f>'Current Distribution with Roth'!U48-'Current Distribution'!U43</f>
        <v>-1038.8221243396511</v>
      </c>
      <c r="Q40" s="49">
        <f>'Current Distribution with Roth'!V48-'Current Distribution'!V43</f>
        <v>-1338.4405161385694</v>
      </c>
      <c r="R40" s="49">
        <f>'Current Distribution with Roth'!W48-'Current Distribution'!W43</f>
        <v>-1617.9807292579717</v>
      </c>
      <c r="S40" s="49">
        <f>'Current Distribution with Roth'!X48-'Current Distribution'!X43</f>
        <v>-1916.835953282869</v>
      </c>
      <c r="T40" s="49">
        <f>'Current Distribution with Roth'!Y48-'Current Distribution'!Y43</f>
        <v>-2216.2292812252454</v>
      </c>
      <c r="U40" s="49">
        <f>'Current Distribution with Roth'!Z48-'Current Distribution'!Z43</f>
        <v>-2514.9631001835842</v>
      </c>
      <c r="V40" s="49">
        <f>'Current Distribution with Roth'!AA48-'Current Distribution'!AA43</f>
        <v>-2782.9335060557423</v>
      </c>
      <c r="W40" s="49">
        <f>'Current Distribution with Roth'!AB48-'Current Distribution'!AB43</f>
        <v>-3078.4513558816834</v>
      </c>
      <c r="X40" s="49">
        <f>'Current Distribution with Roth'!AC48-'Current Distribution'!AC43</f>
        <v>-3334.6029312543287</v>
      </c>
      <c r="Y40" s="49">
        <f>'Current Distribution with Roth'!AD48-'Current Distribution'!AD43</f>
        <v>-3622.5242723525262</v>
      </c>
      <c r="Z40" s="49">
        <f>'Current Distribution with Roth'!AE48-'Current Distribution'!AE43</f>
        <v>-3861.5273294527942</v>
      </c>
      <c r="AA40" s="49">
        <f>'Current Distribution with Roth'!AF48-'Current Distribution'!AF43</f>
        <v>-4089.780863167387</v>
      </c>
      <c r="AB40" s="49">
        <f>'Current Distribution with Roth'!AG48-'Current Distribution'!AG43</f>
        <v>-4324.0511882293649</v>
      </c>
      <c r="AC40" s="49">
        <f>'Current Distribution with Roth'!AH48-'Current Distribution'!AH43</f>
        <v>-4506.1854334070595</v>
      </c>
      <c r="AD40" s="49">
        <f>'Current Distribution with Roth'!AI48-'Current Distribution'!AI43</f>
        <v>-4753.6238201686647</v>
      </c>
      <c r="AE40" s="49"/>
      <c r="AF40" s="49"/>
      <c r="AG40" s="49"/>
      <c r="AH40" s="49"/>
      <c r="AI40" s="49"/>
      <c r="AJ40" s="49"/>
    </row>
    <row r="41" spans="1:36" x14ac:dyDescent="0.2">
      <c r="A41" s="46" t="s">
        <v>31</v>
      </c>
      <c r="B41" s="46"/>
      <c r="C41" s="48">
        <f>'Current Distribution with Roth'!H49-'Current Distribution'!H44</f>
        <v>0</v>
      </c>
      <c r="D41" s="48">
        <f>'Current Distribution with Roth'!I49-'Current Distribution'!I44</f>
        <v>0</v>
      </c>
      <c r="E41" s="48">
        <f>'Current Distribution with Roth'!J49-'Current Distribution'!J44</f>
        <v>0</v>
      </c>
      <c r="F41" s="48">
        <f>'Current Distribution with Roth'!K49-'Current Distribution'!K44</f>
        <v>6.2951397353659289E-2</v>
      </c>
      <c r="G41" s="48">
        <f>'Current Distribution with Roth'!L49-'Current Distribution'!L44</f>
        <v>6.1835081575437628E-2</v>
      </c>
      <c r="H41" s="48">
        <f>'Current Distribution with Roth'!M49-'Current Distribution'!M44</f>
        <v>6.0779111631733551E-2</v>
      </c>
      <c r="I41" s="48">
        <f>'Current Distribution with Roth'!N49-'Current Distribution'!N44</f>
        <v>5.9606282916442377E-2</v>
      </c>
      <c r="J41" s="48">
        <f>'Current Distribution with Roth'!O49-'Current Distribution'!O44</f>
        <v>5.8405408768986811E-2</v>
      </c>
      <c r="K41" s="48">
        <f>'Current Distribution with Roth'!P49-'Current Distribution'!P44</f>
        <v>3.5103419545754161E-2</v>
      </c>
      <c r="L41" s="48">
        <f>'Current Distribution with Roth'!Q49-'Current Distribution'!Q44</f>
        <v>3.4240952149045906E-2</v>
      </c>
      <c r="M41" s="48">
        <f>'Current Distribution with Roth'!R49-'Current Distribution'!R44</f>
        <v>1.4579478065218726E-2</v>
      </c>
      <c r="N41" s="48">
        <f>'Current Distribution with Roth'!S49-'Current Distribution'!S44</f>
        <v>-7.6127764292621691E-4</v>
      </c>
      <c r="O41" s="48">
        <f>'Current Distribution with Roth'!T49-'Current Distribution'!T44</f>
        <v>-1.3164383847977801E-3</v>
      </c>
      <c r="P41" s="48">
        <f>'Current Distribution with Roth'!U49-'Current Distribution'!U44</f>
        <v>-1.6763120550118971E-3</v>
      </c>
      <c r="Q41" s="48">
        <f>'Current Distribution with Roth'!V49-'Current Distribution'!V44</f>
        <v>-4.0837693982522794E-3</v>
      </c>
      <c r="R41" s="48">
        <f>'Current Distribution with Roth'!W49-'Current Distribution'!W44</f>
        <v>-6.9591411478016063E-3</v>
      </c>
      <c r="S41" s="48">
        <f>'Current Distribution with Roth'!X49-'Current Distribution'!X44</f>
        <v>-8.2342578371106256E-3</v>
      </c>
      <c r="T41" s="48">
        <f>'Current Distribution with Roth'!Y49-'Current Distribution'!Y44</f>
        <v>-8.9279024961675391E-3</v>
      </c>
      <c r="U41" s="48">
        <f>'Current Distribution with Roth'!Z49-'Current Distribution'!Z44</f>
        <v>-9.5106159057649631E-3</v>
      </c>
      <c r="V41" s="48">
        <f>'Current Distribution with Roth'!AA49-'Current Distribution'!AA44</f>
        <v>-9.9092552790988608E-3</v>
      </c>
      <c r="W41" s="48">
        <f>'Current Distribution with Roth'!AB49-'Current Distribution'!AB44</f>
        <v>-1.0266163337235623E-2</v>
      </c>
      <c r="X41" s="48">
        <f>'Current Distribution with Roth'!AC49-'Current Distribution'!AC44</f>
        <v>-1.1386592791847006E-2</v>
      </c>
      <c r="Y41" s="48">
        <f>'Current Distribution with Roth'!AD49-'Current Distribution'!AD44</f>
        <v>-1.2582554156904291E-2</v>
      </c>
      <c r="Z41" s="48">
        <f>'Current Distribution with Roth'!AE49-'Current Distribution'!AE44</f>
        <v>-1.35070603896561E-2</v>
      </c>
      <c r="AA41" s="48">
        <f>'Current Distribution with Roth'!AF49-'Current Distribution'!AF44</f>
        <v>-1.4212527928680774E-2</v>
      </c>
      <c r="AB41" s="48">
        <f>'Current Distribution with Roth'!AG49-'Current Distribution'!AG44</f>
        <v>-1.4164654014082789E-2</v>
      </c>
      <c r="AC41" s="48">
        <f>'Current Distribution with Roth'!AH49-'Current Distribution'!AH44</f>
        <v>-1.4080063453406344E-2</v>
      </c>
      <c r="AD41" s="48">
        <f>'Current Distribution with Roth'!AI49-'Current Distribution'!AI44</f>
        <v>-1.4083738514396482E-2</v>
      </c>
      <c r="AE41" s="48"/>
      <c r="AF41" s="48"/>
      <c r="AG41" s="48"/>
      <c r="AH41" s="48"/>
      <c r="AI41" s="48"/>
      <c r="AJ41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54"/>
  <sheetViews>
    <sheetView workbookViewId="0">
      <selection activeCell="B4" sqref="B4:C5"/>
    </sheetView>
  </sheetViews>
  <sheetFormatPr baseColWidth="10" defaultRowHeight="16" x14ac:dyDescent="0.2"/>
  <cols>
    <col min="2" max="2" width="4.83203125" style="35" bestFit="1" customWidth="1"/>
    <col min="3" max="3" width="17" style="35" bestFit="1" customWidth="1"/>
  </cols>
  <sheetData>
    <row r="2" spans="2:5" ht="15" customHeight="1" x14ac:dyDescent="0.2">
      <c r="B2" s="35" t="s">
        <v>18</v>
      </c>
      <c r="C2" s="35" t="s">
        <v>19</v>
      </c>
    </row>
    <row r="6" spans="2:5" ht="17" x14ac:dyDescent="0.2">
      <c r="B6" s="35">
        <v>72</v>
      </c>
      <c r="C6" s="35">
        <v>27.4</v>
      </c>
      <c r="D6" s="112">
        <v>72</v>
      </c>
      <c r="E6" s="112">
        <v>27.4</v>
      </c>
    </row>
    <row r="7" spans="2:5" ht="17" x14ac:dyDescent="0.2">
      <c r="B7" s="35">
        <v>73</v>
      </c>
      <c r="C7" s="35">
        <v>26.5</v>
      </c>
      <c r="D7" s="112">
        <v>73</v>
      </c>
      <c r="E7" s="112">
        <v>26.5</v>
      </c>
    </row>
    <row r="8" spans="2:5" ht="17" x14ac:dyDescent="0.2">
      <c r="B8" s="35">
        <v>74</v>
      </c>
      <c r="C8" s="35">
        <v>25.5</v>
      </c>
      <c r="D8" s="112">
        <v>74</v>
      </c>
      <c r="E8" s="112">
        <v>25.5</v>
      </c>
    </row>
    <row r="9" spans="2:5" ht="17" x14ac:dyDescent="0.2">
      <c r="B9" s="35">
        <v>75</v>
      </c>
      <c r="C9" s="35">
        <v>24.6</v>
      </c>
      <c r="D9" s="112">
        <v>75</v>
      </c>
      <c r="E9" s="112">
        <v>24.6</v>
      </c>
    </row>
    <row r="10" spans="2:5" ht="17" x14ac:dyDescent="0.2">
      <c r="B10" s="35">
        <v>76</v>
      </c>
      <c r="C10" s="35">
        <v>23.7</v>
      </c>
      <c r="D10" s="112">
        <v>76</v>
      </c>
      <c r="E10" s="112">
        <v>23.7</v>
      </c>
    </row>
    <row r="11" spans="2:5" ht="17" x14ac:dyDescent="0.2">
      <c r="B11" s="35">
        <v>77</v>
      </c>
      <c r="C11" s="35">
        <v>22.9</v>
      </c>
      <c r="D11" s="112">
        <v>77</v>
      </c>
      <c r="E11" s="112">
        <v>22.9</v>
      </c>
    </row>
    <row r="12" spans="2:5" ht="17" x14ac:dyDescent="0.2">
      <c r="B12" s="35">
        <v>78</v>
      </c>
      <c r="C12" s="35">
        <v>22</v>
      </c>
      <c r="D12" s="112">
        <v>78</v>
      </c>
      <c r="E12" s="112">
        <v>22</v>
      </c>
    </row>
    <row r="13" spans="2:5" ht="15" customHeight="1" x14ac:dyDescent="0.2">
      <c r="B13" s="35">
        <v>79</v>
      </c>
      <c r="C13" s="35">
        <v>21.1</v>
      </c>
      <c r="D13" s="112">
        <v>79</v>
      </c>
      <c r="E13" s="112">
        <v>21.1</v>
      </c>
    </row>
    <row r="14" spans="2:5" ht="17" x14ac:dyDescent="0.2">
      <c r="B14" s="35">
        <v>80</v>
      </c>
      <c r="C14" s="35">
        <v>20.2</v>
      </c>
      <c r="D14" s="112">
        <v>80</v>
      </c>
      <c r="E14" s="112">
        <v>20.2</v>
      </c>
    </row>
    <row r="15" spans="2:5" ht="17" x14ac:dyDescent="0.2">
      <c r="B15" s="35">
        <v>81</v>
      </c>
      <c r="C15" s="35">
        <v>19.399999999999999</v>
      </c>
      <c r="D15" s="112">
        <v>81</v>
      </c>
      <c r="E15" s="112">
        <v>19.399999999999999</v>
      </c>
    </row>
    <row r="16" spans="2:5" ht="17" x14ac:dyDescent="0.2">
      <c r="B16" s="35">
        <v>82</v>
      </c>
      <c r="C16" s="35">
        <v>18.5</v>
      </c>
      <c r="D16" s="112">
        <v>82</v>
      </c>
      <c r="E16" s="112">
        <v>18.5</v>
      </c>
    </row>
    <row r="17" spans="2:5" ht="17" x14ac:dyDescent="0.2">
      <c r="B17" s="35">
        <v>83</v>
      </c>
      <c r="C17" s="35">
        <v>17.7</v>
      </c>
      <c r="D17" s="112">
        <v>83</v>
      </c>
      <c r="E17" s="112">
        <v>17.7</v>
      </c>
    </row>
    <row r="18" spans="2:5" ht="17" x14ac:dyDescent="0.2">
      <c r="B18" s="35">
        <v>84</v>
      </c>
      <c r="C18" s="35">
        <v>16.8</v>
      </c>
      <c r="D18" s="112">
        <v>84</v>
      </c>
      <c r="E18" s="112">
        <v>16.8</v>
      </c>
    </row>
    <row r="19" spans="2:5" ht="17" x14ac:dyDescent="0.2">
      <c r="B19" s="35">
        <v>85</v>
      </c>
      <c r="C19" s="35">
        <v>16</v>
      </c>
      <c r="D19" s="112">
        <v>85</v>
      </c>
      <c r="E19" s="112">
        <v>16</v>
      </c>
    </row>
    <row r="20" spans="2:5" ht="17" x14ac:dyDescent="0.2">
      <c r="B20" s="35">
        <v>86</v>
      </c>
      <c r="C20" s="35">
        <v>15.2</v>
      </c>
      <c r="D20" s="112">
        <v>86</v>
      </c>
      <c r="E20" s="112">
        <v>15.2</v>
      </c>
    </row>
    <row r="21" spans="2:5" ht="17" x14ac:dyDescent="0.2">
      <c r="B21" s="35">
        <v>87</v>
      </c>
      <c r="C21" s="35">
        <v>14.4</v>
      </c>
      <c r="D21" s="112">
        <v>87</v>
      </c>
      <c r="E21" s="112">
        <v>14.4</v>
      </c>
    </row>
    <row r="22" spans="2:5" ht="17" x14ac:dyDescent="0.2">
      <c r="B22" s="35">
        <v>88</v>
      </c>
      <c r="C22" s="35">
        <v>13.7</v>
      </c>
      <c r="D22" s="112">
        <v>88</v>
      </c>
      <c r="E22" s="112">
        <v>13.7</v>
      </c>
    </row>
    <row r="23" spans="2:5" ht="17" x14ac:dyDescent="0.2">
      <c r="B23" s="35">
        <v>89</v>
      </c>
      <c r="C23" s="35">
        <v>12.9</v>
      </c>
      <c r="D23" s="112">
        <v>89</v>
      </c>
      <c r="E23" s="112">
        <v>12.9</v>
      </c>
    </row>
    <row r="24" spans="2:5" ht="17" x14ac:dyDescent="0.2">
      <c r="B24" s="35">
        <v>90</v>
      </c>
      <c r="C24" s="35">
        <v>12.2</v>
      </c>
      <c r="D24" s="112">
        <v>90</v>
      </c>
      <c r="E24" s="112">
        <v>12.2</v>
      </c>
    </row>
    <row r="25" spans="2:5" ht="17" x14ac:dyDescent="0.2">
      <c r="B25" s="35">
        <v>91</v>
      </c>
      <c r="C25" s="35">
        <v>11.5</v>
      </c>
      <c r="D25" s="112">
        <v>91</v>
      </c>
      <c r="E25" s="112">
        <v>11.5</v>
      </c>
    </row>
    <row r="26" spans="2:5" ht="17" x14ac:dyDescent="0.2">
      <c r="B26" s="35">
        <v>92</v>
      </c>
      <c r="C26" s="35">
        <v>10.8</v>
      </c>
      <c r="D26" s="112">
        <v>92</v>
      </c>
      <c r="E26" s="112">
        <v>10.8</v>
      </c>
    </row>
    <row r="27" spans="2:5" ht="17" x14ac:dyDescent="0.2">
      <c r="B27" s="35">
        <v>93</v>
      </c>
      <c r="C27" s="35">
        <v>10.1</v>
      </c>
      <c r="D27" s="112">
        <v>93</v>
      </c>
      <c r="E27" s="112">
        <v>10.1</v>
      </c>
    </row>
    <row r="28" spans="2:5" ht="17" x14ac:dyDescent="0.2">
      <c r="B28" s="35">
        <v>94</v>
      </c>
      <c r="C28" s="35">
        <v>9.5</v>
      </c>
      <c r="D28" s="112">
        <v>94</v>
      </c>
      <c r="E28" s="112">
        <v>9.5</v>
      </c>
    </row>
    <row r="29" spans="2:5" ht="17" x14ac:dyDescent="0.2">
      <c r="B29" s="35">
        <v>95</v>
      </c>
      <c r="C29" s="35">
        <v>8.9</v>
      </c>
      <c r="D29" s="112">
        <v>95</v>
      </c>
      <c r="E29" s="112">
        <v>8.9</v>
      </c>
    </row>
    <row r="30" spans="2:5" ht="17" x14ac:dyDescent="0.2">
      <c r="B30" s="35">
        <v>96</v>
      </c>
      <c r="C30" s="35">
        <v>8.4</v>
      </c>
      <c r="D30" s="112">
        <v>96</v>
      </c>
      <c r="E30" s="112">
        <v>8.4</v>
      </c>
    </row>
    <row r="31" spans="2:5" ht="17" x14ac:dyDescent="0.2">
      <c r="B31" s="35">
        <v>97</v>
      </c>
      <c r="C31" s="35">
        <v>7.8</v>
      </c>
      <c r="D31" s="112">
        <v>97</v>
      </c>
      <c r="E31" s="112">
        <v>7.8</v>
      </c>
    </row>
    <row r="32" spans="2:5" ht="17" x14ac:dyDescent="0.2">
      <c r="B32" s="35">
        <v>98</v>
      </c>
      <c r="C32" s="35">
        <v>7.3</v>
      </c>
      <c r="D32" s="112">
        <v>98</v>
      </c>
      <c r="E32" s="112">
        <v>7.3</v>
      </c>
    </row>
    <row r="33" spans="2:5" ht="17" x14ac:dyDescent="0.2">
      <c r="B33" s="35">
        <v>99</v>
      </c>
      <c r="C33" s="35">
        <v>6.8</v>
      </c>
      <c r="D33" s="112">
        <v>99</v>
      </c>
      <c r="E33" s="112">
        <v>6.8</v>
      </c>
    </row>
    <row r="34" spans="2:5" ht="17" x14ac:dyDescent="0.2">
      <c r="B34" s="35">
        <v>100</v>
      </c>
      <c r="C34" s="35">
        <v>6.4</v>
      </c>
      <c r="D34" s="112">
        <v>100</v>
      </c>
      <c r="E34" s="112">
        <v>6.4</v>
      </c>
    </row>
    <row r="35" spans="2:5" x14ac:dyDescent="0.2">
      <c r="B35" s="35">
        <v>101</v>
      </c>
      <c r="C35" s="35">
        <v>6</v>
      </c>
    </row>
    <row r="36" spans="2:5" x14ac:dyDescent="0.2">
      <c r="B36" s="35">
        <v>102</v>
      </c>
      <c r="C36" s="35">
        <v>5.6</v>
      </c>
    </row>
    <row r="37" spans="2:5" x14ac:dyDescent="0.2">
      <c r="B37" s="35">
        <v>103</v>
      </c>
      <c r="C37" s="35">
        <v>5.2</v>
      </c>
    </row>
    <row r="38" spans="2:5" x14ac:dyDescent="0.2">
      <c r="B38" s="35">
        <v>104</v>
      </c>
      <c r="C38" s="35">
        <v>4.9000000000000004</v>
      </c>
    </row>
    <row r="39" spans="2:5" x14ac:dyDescent="0.2">
      <c r="B39" s="35">
        <v>105</v>
      </c>
      <c r="C39" s="35">
        <v>4.5999999999999996</v>
      </c>
    </row>
    <row r="40" spans="2:5" x14ac:dyDescent="0.2">
      <c r="B40" s="35">
        <v>106</v>
      </c>
      <c r="C40" s="35">
        <v>4.3</v>
      </c>
    </row>
    <row r="41" spans="2:5" x14ac:dyDescent="0.2">
      <c r="B41" s="35">
        <v>107</v>
      </c>
      <c r="C41" s="35">
        <v>4.0999999999999996</v>
      </c>
    </row>
    <row r="42" spans="2:5" x14ac:dyDescent="0.2">
      <c r="B42" s="35">
        <v>108</v>
      </c>
      <c r="C42" s="35">
        <v>3.9</v>
      </c>
    </row>
    <row r="43" spans="2:5" x14ac:dyDescent="0.2">
      <c r="B43" s="35">
        <v>109</v>
      </c>
      <c r="C43" s="35">
        <v>3.7</v>
      </c>
    </row>
    <row r="44" spans="2:5" x14ac:dyDescent="0.2">
      <c r="B44" s="35">
        <v>110</v>
      </c>
      <c r="C44" s="35">
        <v>3.5</v>
      </c>
    </row>
    <row r="45" spans="2:5" x14ac:dyDescent="0.2">
      <c r="B45" s="35">
        <v>111</v>
      </c>
      <c r="C45" s="35">
        <v>3.4</v>
      </c>
    </row>
    <row r="46" spans="2:5" x14ac:dyDescent="0.2">
      <c r="B46" s="35">
        <v>112</v>
      </c>
      <c r="C46" s="35">
        <v>3.3</v>
      </c>
    </row>
    <row r="47" spans="2:5" x14ac:dyDescent="0.2">
      <c r="B47" s="35">
        <v>113</v>
      </c>
      <c r="C47" s="35">
        <v>3.1</v>
      </c>
    </row>
    <row r="48" spans="2:5" x14ac:dyDescent="0.2">
      <c r="B48" s="35">
        <v>114</v>
      </c>
      <c r="C48" s="35">
        <v>3</v>
      </c>
    </row>
    <row r="49" spans="2:3" x14ac:dyDescent="0.2">
      <c r="B49" s="35">
        <v>115</v>
      </c>
      <c r="C49" s="35">
        <v>2.9</v>
      </c>
    </row>
    <row r="50" spans="2:3" x14ac:dyDescent="0.2">
      <c r="B50" s="35">
        <v>116</v>
      </c>
      <c r="C50" s="35">
        <v>2.8</v>
      </c>
    </row>
    <row r="51" spans="2:3" x14ac:dyDescent="0.2">
      <c r="B51" s="35">
        <v>117</v>
      </c>
      <c r="C51" s="35">
        <v>2.7</v>
      </c>
    </row>
    <row r="52" spans="2:3" x14ac:dyDescent="0.2">
      <c r="B52" s="35">
        <v>118</v>
      </c>
      <c r="C52" s="35">
        <v>2.5</v>
      </c>
    </row>
    <row r="53" spans="2:3" x14ac:dyDescent="0.2">
      <c r="B53" s="35">
        <v>119</v>
      </c>
      <c r="C53" s="35">
        <v>2.2999999999999998</v>
      </c>
    </row>
    <row r="54" spans="2:3" x14ac:dyDescent="0.2">
      <c r="B54" s="35">
        <v>120</v>
      </c>
      <c r="C54" s="35">
        <v>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24"/>
  <sheetViews>
    <sheetView zoomScale="130" zoomScaleNormal="130" zoomScalePageLayoutView="130" workbookViewId="0">
      <selection activeCell="C11" sqref="C11"/>
    </sheetView>
  </sheetViews>
  <sheetFormatPr baseColWidth="10" defaultRowHeight="19" x14ac:dyDescent="0.25"/>
  <cols>
    <col min="1" max="1" width="10.83203125" style="36" customWidth="1"/>
    <col min="2" max="2" width="16.83203125" style="39" customWidth="1"/>
    <col min="3" max="3" width="20.5" style="39" customWidth="1"/>
    <col min="4" max="4" width="13.33203125" style="39" customWidth="1"/>
    <col min="5" max="5" width="16.83203125" style="39" customWidth="1"/>
    <col min="6" max="6" width="4.33203125" style="36" customWidth="1"/>
    <col min="7" max="7" width="18.1640625" style="36" customWidth="1"/>
    <col min="8" max="8" width="17.5" style="43" customWidth="1"/>
    <col min="9" max="9" width="10.83203125" style="36"/>
    <col min="10" max="10" width="11.83203125" style="36" bestFit="1" customWidth="1"/>
    <col min="11" max="16384" width="10.83203125" style="36"/>
  </cols>
  <sheetData>
    <row r="3" spans="2:10" x14ac:dyDescent="0.25">
      <c r="B3" s="113" t="s">
        <v>33</v>
      </c>
      <c r="C3" s="113"/>
      <c r="D3" s="113"/>
      <c r="E3" s="113"/>
      <c r="G3" s="113"/>
      <c r="H3" s="113"/>
      <c r="I3" s="113"/>
      <c r="J3" s="113"/>
    </row>
    <row r="4" spans="2:10" x14ac:dyDescent="0.25">
      <c r="B4" s="37" t="s">
        <v>20</v>
      </c>
      <c r="C4" s="37" t="s">
        <v>21</v>
      </c>
      <c r="D4" s="38" t="s">
        <v>22</v>
      </c>
      <c r="E4" s="37" t="s">
        <v>23</v>
      </c>
      <c r="G4" s="37"/>
      <c r="H4" s="37"/>
    </row>
    <row r="5" spans="2:10" x14ac:dyDescent="0.25">
      <c r="B5" s="41">
        <v>0</v>
      </c>
      <c r="C5" s="41">
        <v>24800</v>
      </c>
      <c r="D5" s="38">
        <v>0.1</v>
      </c>
      <c r="E5" s="41">
        <v>0</v>
      </c>
      <c r="G5" s="41"/>
      <c r="H5" s="41"/>
      <c r="I5" s="56"/>
      <c r="J5" s="41"/>
    </row>
    <row r="6" spans="2:10" x14ac:dyDescent="0.25">
      <c r="B6" s="41">
        <f>C5+1</f>
        <v>24801</v>
      </c>
      <c r="C6" s="41">
        <v>100800</v>
      </c>
      <c r="D6" s="38">
        <v>0.12</v>
      </c>
      <c r="E6" s="41">
        <f>D5*C5</f>
        <v>2480</v>
      </c>
      <c r="G6" s="41"/>
      <c r="H6" s="41"/>
      <c r="I6" s="56"/>
      <c r="J6" s="41"/>
    </row>
    <row r="7" spans="2:10" x14ac:dyDescent="0.25">
      <c r="B7" s="41">
        <f t="shared" ref="B7:B11" si="0">C6+1</f>
        <v>100801</v>
      </c>
      <c r="C7" s="41">
        <v>211400</v>
      </c>
      <c r="D7" s="38">
        <v>0.22</v>
      </c>
      <c r="E7" s="41">
        <f>E6+D6*(C6-C5)</f>
        <v>11600</v>
      </c>
      <c r="G7" s="41"/>
      <c r="H7" s="41"/>
      <c r="I7" s="56"/>
      <c r="J7" s="41"/>
    </row>
    <row r="8" spans="2:10" x14ac:dyDescent="0.25">
      <c r="B8" s="41">
        <f t="shared" si="0"/>
        <v>211401</v>
      </c>
      <c r="C8" s="41">
        <v>403550</v>
      </c>
      <c r="D8" s="38">
        <v>0.24</v>
      </c>
      <c r="E8" s="41">
        <f t="shared" ref="E8:E11" si="1">E7+D7*(C7-C6)</f>
        <v>35932</v>
      </c>
      <c r="G8" s="41"/>
      <c r="H8" s="41"/>
      <c r="I8" s="56"/>
      <c r="J8" s="41"/>
    </row>
    <row r="9" spans="2:10" x14ac:dyDescent="0.25">
      <c r="B9" s="41">
        <f t="shared" si="0"/>
        <v>403551</v>
      </c>
      <c r="C9" s="41">
        <v>512450</v>
      </c>
      <c r="D9" s="38">
        <v>0.32</v>
      </c>
      <c r="E9" s="41">
        <f t="shared" si="1"/>
        <v>82048</v>
      </c>
      <c r="G9" s="41"/>
      <c r="H9" s="41"/>
      <c r="I9" s="56"/>
      <c r="J9" s="41"/>
    </row>
    <row r="10" spans="2:10" x14ac:dyDescent="0.25">
      <c r="B10" s="41">
        <f t="shared" si="0"/>
        <v>512451</v>
      </c>
      <c r="C10" s="41">
        <v>768700</v>
      </c>
      <c r="D10" s="38">
        <v>0.35</v>
      </c>
      <c r="E10" s="41">
        <f t="shared" si="1"/>
        <v>116896</v>
      </c>
      <c r="G10" s="41"/>
      <c r="H10" s="41"/>
      <c r="J10" s="41"/>
    </row>
    <row r="11" spans="2:10" x14ac:dyDescent="0.25">
      <c r="B11" s="41">
        <f t="shared" si="0"/>
        <v>768701</v>
      </c>
      <c r="C11" s="42"/>
      <c r="D11" s="38">
        <v>0.37</v>
      </c>
      <c r="E11" s="41">
        <f t="shared" si="1"/>
        <v>206583.5</v>
      </c>
      <c r="G11" s="41"/>
      <c r="H11" s="42"/>
    </row>
    <row r="12" spans="2:10" x14ac:dyDescent="0.25">
      <c r="B12" s="41"/>
      <c r="C12" s="42"/>
      <c r="E12" s="42"/>
      <c r="G12" s="40"/>
    </row>
    <row r="13" spans="2:10" x14ac:dyDescent="0.25">
      <c r="B13" s="42"/>
      <c r="C13" s="42"/>
      <c r="E13" s="42"/>
      <c r="G13" s="40"/>
    </row>
    <row r="14" spans="2:10" x14ac:dyDescent="0.25">
      <c r="B14" s="41"/>
      <c r="C14" s="41"/>
      <c r="D14" s="38"/>
      <c r="E14" s="41"/>
      <c r="G14" s="40"/>
      <c r="H14" s="44"/>
    </row>
    <row r="15" spans="2:10" x14ac:dyDescent="0.25">
      <c r="B15" s="41"/>
      <c r="C15" s="41"/>
      <c r="D15" s="38"/>
      <c r="E15" s="41"/>
      <c r="G15" s="40"/>
      <c r="H15" s="44"/>
    </row>
    <row r="16" spans="2:10" x14ac:dyDescent="0.25">
      <c r="B16" s="41"/>
      <c r="C16" s="41"/>
      <c r="D16" s="38"/>
      <c r="E16" s="41"/>
      <c r="G16" s="40"/>
      <c r="H16" s="44"/>
    </row>
    <row r="17" spans="2:8" x14ac:dyDescent="0.25">
      <c r="B17" s="54"/>
      <c r="C17" s="55"/>
      <c r="D17" s="55"/>
      <c r="E17" s="55"/>
      <c r="F17" s="40"/>
      <c r="G17" s="44"/>
      <c r="H17" s="36"/>
    </row>
    <row r="18" spans="2:8" x14ac:dyDescent="0.25">
      <c r="B18" s="54"/>
      <c r="C18" s="55"/>
      <c r="D18" s="55"/>
      <c r="E18" s="55"/>
      <c r="F18" s="40"/>
      <c r="G18" s="45"/>
      <c r="H18" s="36"/>
    </row>
    <row r="19" spans="2:8" x14ac:dyDescent="0.25">
      <c r="B19" s="54"/>
      <c r="C19" s="55"/>
      <c r="D19" s="55"/>
      <c r="E19" s="55"/>
      <c r="F19" s="40"/>
      <c r="G19" s="45"/>
      <c r="H19" s="36"/>
    </row>
    <row r="20" spans="2:8" x14ac:dyDescent="0.25">
      <c r="B20" s="54"/>
      <c r="C20" s="55"/>
      <c r="D20" s="55"/>
      <c r="E20" s="55"/>
      <c r="F20" s="40"/>
      <c r="G20" s="43"/>
      <c r="H20" s="36"/>
    </row>
    <row r="21" spans="2:8" x14ac:dyDescent="0.25">
      <c r="B21" s="54"/>
      <c r="C21" s="55"/>
      <c r="D21" s="55"/>
      <c r="E21" s="55"/>
      <c r="G21" s="43"/>
      <c r="H21" s="36"/>
    </row>
    <row r="22" spans="2:8" x14ac:dyDescent="0.25">
      <c r="B22" s="54"/>
      <c r="C22" s="55"/>
      <c r="D22" s="55"/>
      <c r="E22" s="55"/>
      <c r="G22" s="43"/>
      <c r="H22" s="36"/>
    </row>
    <row r="23" spans="2:8" x14ac:dyDescent="0.25">
      <c r="B23" s="54"/>
      <c r="C23" s="55"/>
      <c r="D23" s="55"/>
      <c r="E23" s="55"/>
      <c r="G23" s="43"/>
      <c r="H23" s="36"/>
    </row>
    <row r="24" spans="2:8" x14ac:dyDescent="0.25">
      <c r="E24" s="36"/>
      <c r="G24" s="43"/>
      <c r="H24" s="36"/>
    </row>
  </sheetData>
  <mergeCells count="2">
    <mergeCell ref="G3:J3"/>
    <mergeCell ref="B3:E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3E3B-D8AB-0546-B7D1-6774D24BDCD0}">
  <dimension ref="B3:E26"/>
  <sheetViews>
    <sheetView workbookViewId="0">
      <selection activeCell="B18" sqref="B18:C22"/>
    </sheetView>
  </sheetViews>
  <sheetFormatPr baseColWidth="10" defaultRowHeight="16" x14ac:dyDescent="0.2"/>
  <cols>
    <col min="2" max="2" width="30.5" customWidth="1"/>
    <col min="3" max="3" width="17.1640625" bestFit="1" customWidth="1"/>
    <col min="5" max="5" width="17.1640625" bestFit="1" customWidth="1"/>
  </cols>
  <sheetData>
    <row r="3" spans="2:5" ht="20" x14ac:dyDescent="0.2">
      <c r="B3" s="59" t="s">
        <v>41</v>
      </c>
      <c r="C3" s="59" t="s">
        <v>40</v>
      </c>
      <c r="E3" s="59">
        <v>2026</v>
      </c>
    </row>
    <row r="4" spans="2:5" ht="20" x14ac:dyDescent="0.2">
      <c r="B4" s="58" t="s">
        <v>8</v>
      </c>
      <c r="C4" s="57">
        <v>979001.17</v>
      </c>
      <c r="E4" s="57">
        <v>1025000</v>
      </c>
    </row>
    <row r="5" spans="2:5" ht="20" x14ac:dyDescent="0.2">
      <c r="B5" s="58" t="s">
        <v>39</v>
      </c>
      <c r="C5" s="57">
        <v>293541.53999999998</v>
      </c>
      <c r="E5" s="57">
        <v>300000</v>
      </c>
    </row>
    <row r="6" spans="2:5" ht="20" x14ac:dyDescent="0.2">
      <c r="B6" s="58" t="s">
        <v>7</v>
      </c>
      <c r="C6" s="57">
        <v>766823</v>
      </c>
      <c r="E6" s="57">
        <v>800000</v>
      </c>
    </row>
    <row r="7" spans="2:5" ht="20" x14ac:dyDescent="0.2">
      <c r="B7" s="58"/>
      <c r="C7" s="57"/>
      <c r="E7" s="57"/>
    </row>
    <row r="8" spans="2:5" ht="20" x14ac:dyDescent="0.2">
      <c r="B8" s="58" t="s">
        <v>38</v>
      </c>
      <c r="C8" s="57">
        <v>139614.39999999999</v>
      </c>
      <c r="E8" s="57"/>
    </row>
    <row r="9" spans="2:5" ht="20" x14ac:dyDescent="0.2">
      <c r="B9" s="58" t="s">
        <v>35</v>
      </c>
      <c r="C9" s="57">
        <v>1139670</v>
      </c>
      <c r="E9" s="57">
        <f>(C9+300000)*1.1</f>
        <v>1583637.0000000002</v>
      </c>
    </row>
    <row r="10" spans="2:5" ht="20" x14ac:dyDescent="0.2">
      <c r="B10" s="58" t="s">
        <v>37</v>
      </c>
      <c r="C10" s="57">
        <v>223053</v>
      </c>
      <c r="E10" s="57">
        <v>0</v>
      </c>
    </row>
    <row r="11" spans="2:5" ht="20" x14ac:dyDescent="0.2">
      <c r="B11" s="58" t="s">
        <v>42</v>
      </c>
      <c r="C11" s="57">
        <v>20136.73</v>
      </c>
      <c r="E11" s="57">
        <v>0</v>
      </c>
    </row>
    <row r="12" spans="2:5" ht="20" x14ac:dyDescent="0.2">
      <c r="B12" s="58" t="s">
        <v>36</v>
      </c>
      <c r="C12" s="57">
        <v>1136780</v>
      </c>
      <c r="E12" s="57">
        <v>2000000</v>
      </c>
    </row>
    <row r="14" spans="2:5" ht="20" x14ac:dyDescent="0.2">
      <c r="E14" s="57">
        <f>SUM(E4:E12)</f>
        <v>5708637</v>
      </c>
    </row>
    <row r="16" spans="2:5" ht="21" x14ac:dyDescent="0.25">
      <c r="B16" s="109"/>
      <c r="C16" s="60"/>
    </row>
    <row r="17" spans="2:4" ht="21" x14ac:dyDescent="0.25">
      <c r="B17" s="109"/>
      <c r="C17" s="60"/>
    </row>
    <row r="18" spans="2:4" ht="21" x14ac:dyDescent="0.25">
      <c r="B18" s="110" t="s">
        <v>9</v>
      </c>
      <c r="C18" s="114">
        <v>1.17</v>
      </c>
      <c r="D18" s="114">
        <v>1.17</v>
      </c>
    </row>
    <row r="19" spans="2:4" ht="21" x14ac:dyDescent="0.25">
      <c r="B19" s="110" t="s">
        <v>7</v>
      </c>
      <c r="C19" s="114">
        <v>1.095</v>
      </c>
      <c r="D19" s="114">
        <v>1.095</v>
      </c>
    </row>
    <row r="20" spans="2:4" ht="21" x14ac:dyDescent="0.25">
      <c r="B20" s="110" t="s">
        <v>8</v>
      </c>
      <c r="C20" s="114">
        <v>1.1299999999999999</v>
      </c>
      <c r="D20" s="114">
        <v>1.1299999999999999</v>
      </c>
    </row>
    <row r="21" spans="2:4" ht="21" x14ac:dyDescent="0.25">
      <c r="B21" s="110" t="s">
        <v>36</v>
      </c>
      <c r="C21" s="114">
        <v>1.04</v>
      </c>
      <c r="D21" s="114">
        <v>1.04</v>
      </c>
    </row>
    <row r="22" spans="2:4" ht="21" x14ac:dyDescent="0.25">
      <c r="B22" s="110" t="s">
        <v>35</v>
      </c>
      <c r="C22" s="114">
        <v>1.095</v>
      </c>
      <c r="D22" s="114">
        <v>1.095</v>
      </c>
    </row>
    <row r="23" spans="2:4" ht="21" x14ac:dyDescent="0.25">
      <c r="B23" s="109"/>
      <c r="C23" s="57"/>
    </row>
    <row r="24" spans="2:4" ht="21" x14ac:dyDescent="0.25">
      <c r="B24" s="109"/>
    </row>
    <row r="25" spans="2:4" ht="21" x14ac:dyDescent="0.25">
      <c r="B25" s="109"/>
    </row>
    <row r="26" spans="2:4" ht="21" x14ac:dyDescent="0.25">
      <c r="B26" s="10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D5CF-518E-7A42-93F4-2DACCC386E7F}">
  <dimension ref="B3:C47"/>
  <sheetViews>
    <sheetView topLeftCell="A7" zoomScale="130" zoomScaleNormal="130" workbookViewId="0">
      <selection activeCell="C1" sqref="C1:C1048576"/>
    </sheetView>
  </sheetViews>
  <sheetFormatPr baseColWidth="10" defaultRowHeight="16" x14ac:dyDescent="0.2"/>
  <cols>
    <col min="2" max="3" width="13.83203125" customWidth="1"/>
  </cols>
  <sheetData>
    <row r="3" spans="2:3" x14ac:dyDescent="0.2">
      <c r="B3" s="1">
        <v>2035</v>
      </c>
      <c r="C3" s="1">
        <v>2035</v>
      </c>
    </row>
    <row r="4" spans="2:3" x14ac:dyDescent="0.2">
      <c r="B4">
        <v>73</v>
      </c>
      <c r="C4">
        <v>73</v>
      </c>
    </row>
    <row r="5" spans="2:3" x14ac:dyDescent="0.2">
      <c r="B5">
        <v>8</v>
      </c>
    </row>
    <row r="6" spans="2:3" x14ac:dyDescent="0.2">
      <c r="B6">
        <v>83</v>
      </c>
      <c r="C6">
        <v>83</v>
      </c>
    </row>
    <row r="8" spans="2:3" x14ac:dyDescent="0.2">
      <c r="B8" s="19"/>
      <c r="C8" s="19"/>
    </row>
    <row r="9" spans="2:3" x14ac:dyDescent="0.2">
      <c r="B9" s="17">
        <v>134686</v>
      </c>
      <c r="C9" s="70">
        <v>134686</v>
      </c>
    </row>
    <row r="10" spans="2:3" x14ac:dyDescent="0.2">
      <c r="B10" s="5">
        <v>22000</v>
      </c>
      <c r="C10" s="71">
        <v>22000</v>
      </c>
    </row>
    <row r="11" spans="2:3" x14ac:dyDescent="0.2">
      <c r="B11" s="5">
        <v>21600</v>
      </c>
      <c r="C11" s="71">
        <v>21600</v>
      </c>
    </row>
    <row r="12" spans="2:3" x14ac:dyDescent="0.2">
      <c r="B12" s="5">
        <v>64767.646655999997</v>
      </c>
      <c r="C12" s="71">
        <v>64767.646655999997</v>
      </c>
    </row>
    <row r="13" spans="2:3" x14ac:dyDescent="0.2">
      <c r="B13" s="9">
        <v>50190.026711582206</v>
      </c>
      <c r="C13" s="72">
        <v>50190.026711582206</v>
      </c>
    </row>
    <row r="14" spans="2:3" x14ac:dyDescent="0.2">
      <c r="B14" s="9">
        <v>95248.180498332062</v>
      </c>
      <c r="C14" s="72">
        <v>95248.180498332062</v>
      </c>
    </row>
    <row r="15" spans="2:3" x14ac:dyDescent="0.2">
      <c r="B15" s="9">
        <v>61648.840618645787</v>
      </c>
      <c r="C15" s="72">
        <v>3491.0694830160573</v>
      </c>
    </row>
    <row r="16" spans="2:3" x14ac:dyDescent="0.2">
      <c r="B16" s="9">
        <v>0</v>
      </c>
      <c r="C16" s="72">
        <v>0</v>
      </c>
    </row>
    <row r="17" spans="2:3" x14ac:dyDescent="0.2">
      <c r="B17" s="9">
        <v>111451.73874483519</v>
      </c>
      <c r="C17" s="72">
        <v>63217.819173236319</v>
      </c>
    </row>
    <row r="19" spans="2:3" x14ac:dyDescent="0.2">
      <c r="B19" s="13">
        <v>561592.43322939519</v>
      </c>
      <c r="C19" s="73">
        <v>455200.74252216663</v>
      </c>
    </row>
    <row r="20" spans="2:3" x14ac:dyDescent="0.2">
      <c r="B20" s="21">
        <v>111451.73874483519</v>
      </c>
      <c r="C20" s="90">
        <v>63217.819173236319</v>
      </c>
    </row>
    <row r="21" spans="2:3" x14ac:dyDescent="0.2">
      <c r="B21" s="21">
        <v>388491.85386591428</v>
      </c>
      <c r="C21" s="90">
        <v>46902.305630352348</v>
      </c>
    </row>
    <row r="22" spans="2:3" x14ac:dyDescent="0.2">
      <c r="B22" s="53">
        <v>88243.316159774287</v>
      </c>
      <c r="C22" s="92">
        <v>435394.15949626663</v>
      </c>
    </row>
    <row r="23" spans="2:3" x14ac:dyDescent="0.2">
      <c r="B23" s="21">
        <v>411700.27645097527</v>
      </c>
      <c r="C23" s="90">
        <v>390394.15949626663</v>
      </c>
    </row>
    <row r="24" spans="2:3" x14ac:dyDescent="0.2">
      <c r="B24" s="13">
        <v>34308.356370914604</v>
      </c>
      <c r="C24" s="74">
        <v>0</v>
      </c>
    </row>
    <row r="25" spans="2:3" x14ac:dyDescent="0.2">
      <c r="B25" s="2"/>
      <c r="C25" s="90">
        <v>390394.15949626663</v>
      </c>
    </row>
    <row r="26" spans="2:3" x14ac:dyDescent="0.2">
      <c r="B26" s="51">
        <v>411700.27645097522</v>
      </c>
      <c r="C26" s="94">
        <v>88814.007848879992</v>
      </c>
    </row>
    <row r="27" spans="2:3" x14ac:dyDescent="0.2">
      <c r="C27" s="90">
        <v>301580.15164738661</v>
      </c>
    </row>
    <row r="28" spans="2:3" x14ac:dyDescent="0.2">
      <c r="B28" s="9">
        <v>506843.68770080782</v>
      </c>
      <c r="C28" s="90">
        <v>411700.27645097527</v>
      </c>
    </row>
    <row r="29" spans="2:3" x14ac:dyDescent="0.2">
      <c r="B29" s="9">
        <v>891475.25445112318</v>
      </c>
      <c r="C29" s="88">
        <v>34308.356370914604</v>
      </c>
    </row>
    <row r="30" spans="2:3" x14ac:dyDescent="0.2">
      <c r="B30" s="9">
        <v>1670067.0923591144</v>
      </c>
      <c r="C30" s="2"/>
    </row>
    <row r="31" spans="2:3" x14ac:dyDescent="0.2">
      <c r="B31" s="9">
        <v>1545763.0601942798</v>
      </c>
      <c r="C31" s="51">
        <v>411700.27645097527</v>
      </c>
    </row>
    <row r="32" spans="2:3" x14ac:dyDescent="0.2">
      <c r="B32" s="9">
        <v>2580273.2096998156</v>
      </c>
    </row>
    <row r="33" spans="2:3" x14ac:dyDescent="0.2">
      <c r="B33" s="13">
        <v>7194422.3044051416</v>
      </c>
      <c r="C33" s="72">
        <v>2140495.4789006468</v>
      </c>
    </row>
    <row r="34" spans="2:3" x14ac:dyDescent="0.2">
      <c r="C34" s="72">
        <v>891475.25445112318</v>
      </c>
    </row>
    <row r="35" spans="2:3" x14ac:dyDescent="0.2">
      <c r="B35" s="47">
        <v>388491.85386591428</v>
      </c>
      <c r="C35" s="72">
        <v>94573.072294904996</v>
      </c>
    </row>
    <row r="36" spans="2:3" x14ac:dyDescent="0.2">
      <c r="B36" s="47">
        <v>45000</v>
      </c>
      <c r="C36" s="72">
        <v>1593996.9797658785</v>
      </c>
    </row>
    <row r="37" spans="2:3" x14ac:dyDescent="0.2">
      <c r="B37" s="47">
        <v>343491.85386591428</v>
      </c>
      <c r="C37" s="72">
        <v>2580273.2096998156</v>
      </c>
    </row>
    <row r="38" spans="2:3" x14ac:dyDescent="0.2">
      <c r="B38" s="47">
        <v>67633.804927819423</v>
      </c>
      <c r="C38" s="73">
        <v>7300813.9951123688</v>
      </c>
    </row>
    <row r="39" spans="2:3" x14ac:dyDescent="0.2">
      <c r="B39" s="48">
        <v>0.24</v>
      </c>
    </row>
    <row r="40" spans="2:3" x14ac:dyDescent="0.2">
      <c r="B40" s="48">
        <v>0.19690075373438407</v>
      </c>
      <c r="C40" s="101">
        <v>390394.15949626663</v>
      </c>
    </row>
    <row r="41" spans="2:3" x14ac:dyDescent="0.2">
      <c r="B41" s="49">
        <v>20609.511231954857</v>
      </c>
      <c r="C41" s="75">
        <v>45000</v>
      </c>
    </row>
    <row r="42" spans="2:3" x14ac:dyDescent="0.2">
      <c r="B42" s="48">
        <v>0.25690075373438409</v>
      </c>
      <c r="C42" s="75">
        <v>345394.15949626663</v>
      </c>
    </row>
    <row r="43" spans="2:3" x14ac:dyDescent="0.2">
      <c r="C43" s="75">
        <v>68090.358279103995</v>
      </c>
    </row>
    <row r="44" spans="2:3" x14ac:dyDescent="0.2">
      <c r="C44" s="76">
        <v>0.24</v>
      </c>
    </row>
    <row r="45" spans="2:3" x14ac:dyDescent="0.2">
      <c r="C45" s="76">
        <v>0.19713812873503433</v>
      </c>
    </row>
    <row r="46" spans="2:3" x14ac:dyDescent="0.2">
      <c r="C46" s="77">
        <v>20723.649569775996</v>
      </c>
    </row>
    <row r="47" spans="2:3" x14ac:dyDescent="0.2">
      <c r="C47" s="76">
        <v>0.25713812873503433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Current Distribution</vt:lpstr>
      <vt:lpstr>Current Distribution with Roth</vt:lpstr>
      <vt:lpstr>Aggressive Model with Roth</vt:lpstr>
      <vt:lpstr>Compare</vt:lpstr>
      <vt:lpstr>RMD</vt:lpstr>
      <vt:lpstr>Tax Table</vt:lpstr>
      <vt:lpstr>Sheet1</vt:lpstr>
      <vt:lpstr>Test 2035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Hedges</dc:creator>
  <cp:lastModifiedBy>Bob Barnhart</cp:lastModifiedBy>
  <cp:lastPrinted>2019-03-06T14:05:22Z</cp:lastPrinted>
  <dcterms:created xsi:type="dcterms:W3CDTF">2019-02-26T15:48:37Z</dcterms:created>
  <dcterms:modified xsi:type="dcterms:W3CDTF">2026-01-17T17:31:15Z</dcterms:modified>
</cp:coreProperties>
</file>